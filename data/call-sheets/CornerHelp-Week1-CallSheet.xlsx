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l Sheet" sheetId="1" state="visible" r:id="rId3"/>
    <sheet name="How to use" sheetId="2" state="visible" r:id="rId4"/>
  </sheets>
  <definedNames>
    <definedName function="false" hidden="true" localSheetId="0" name="_xlnm._FilterDatabase" vbProcedure="false">'Call Sheet'!$A$3:$V$19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<sst xmlns="http://schemas.openxmlformats.org/spreadsheetml/2006/main" count="173" uniqueCount="130">
  <si>
    <t xml:space="preserve">CornerHelp — Week 1 verification calls · CEAP · ten launch counties</t>
  </si>
  <si>
    <t xml:space="preserve">DO NOT EDIT — call context</t>
  </si>
  <si>
    <t xml:space="preserve">FILL THESE IN — in the order the script asks for them. Blank beats guessed.</t>
  </si>
  <si>
    <t xml:space="preserve">#</t>
  </si>
  <si>
    <t xml:space="preserve">Organization</t>
  </si>
  <si>
    <t xml:space="preserve">Program</t>
  </si>
  <si>
    <t xml:space="preserve">Phone</t>
  </si>
  <si>
    <t xml:space="preserve">City</t>
  </si>
  <si>
    <t xml:space="preserve">Counties</t>
  </si>
  <si>
    <t xml:space="preserve">People reached</t>
  </si>
  <si>
    <t xml:space="preserve">Largest counties</t>
  </si>
  <si>
    <t xml:space="preserve">Status</t>
  </si>
  <si>
    <t xml:space="preserve">Funding lasts until</t>
  </si>
  <si>
    <t xml:space="preserve">Reopens on</t>
  </si>
  <si>
    <t xml:space="preserve">How to apply</t>
  </si>
  <si>
    <t xml:space="preserve">Hours</t>
  </si>
  <si>
    <t xml:space="preserve">Daily cap</t>
  </si>
  <si>
    <t xml:space="preserve">Documents required</t>
  </si>
  <si>
    <t xml:space="preserve">Most common reason turned away</t>
  </si>
  <si>
    <t xml:space="preserve">Anything changing</t>
  </si>
  <si>
    <t xml:space="preserve">Spoke with</t>
  </si>
  <si>
    <t xml:space="preserve">Call outcome</t>
  </si>
  <si>
    <t xml:space="preserve">Note</t>
  </si>
  <si>
    <t xml:space="preserve">Called (date)</t>
  </si>
  <si>
    <t xml:space="preserve">VA</t>
  </si>
  <si>
    <t xml:space="preserve">BakerRipley</t>
  </si>
  <si>
    <t xml:space="preserve">Comprehensive Energy Assistance Program (CEAP)</t>
  </si>
  <si>
    <t xml:space="preserve">+17136679400</t>
  </si>
  <si>
    <t xml:space="preserve">Houston</t>
  </si>
  <si>
    <t xml:space="preserve">Harris, Brazoria, Galveston</t>
  </si>
  <si>
    <t xml:space="preserve">Gulf Coast Community Services Association</t>
  </si>
  <si>
    <t xml:space="preserve">+17133934700</t>
  </si>
  <si>
    <t xml:space="preserve">Community Services, Inc.</t>
  </si>
  <si>
    <t xml:space="preserve">+19038722401</t>
  </si>
  <si>
    <t xml:space="preserve">Corsicana</t>
  </si>
  <si>
    <t xml:space="preserve">Collin, Denton, Ellis</t>
  </si>
  <si>
    <t xml:space="preserve">Texoma Council of Governments</t>
  </si>
  <si>
    <t xml:space="preserve">+19038932161</t>
  </si>
  <si>
    <t xml:space="preserve">Sherman</t>
  </si>
  <si>
    <t xml:space="preserve">Collin, Denton, Grayson</t>
  </si>
  <si>
    <t xml:space="preserve">Community Council of Greater Dallas</t>
  </si>
  <si>
    <t xml:space="preserve">+12148715065</t>
  </si>
  <si>
    <t xml:space="preserve">Dallas</t>
  </si>
  <si>
    <t xml:space="preserve">Dallas County Department of Health and Human Services</t>
  </si>
  <si>
    <t xml:space="preserve">+12148191848</t>
  </si>
  <si>
    <t xml:space="preserve">Alamo Area Council of Governments</t>
  </si>
  <si>
    <t xml:space="preserve">+12103625200</t>
  </si>
  <si>
    <t xml:space="preserve">San Antonio</t>
  </si>
  <si>
    <t xml:space="preserve">Bexar, Comal, Guadalupe</t>
  </si>
  <si>
    <t xml:space="preserve">Fort Worth, City of, Neighborhood Services Department</t>
  </si>
  <si>
    <t xml:space="preserve">+18173925790</t>
  </si>
  <si>
    <t xml:space="preserve">Fort Worth</t>
  </si>
  <si>
    <t xml:space="preserve">Tarrant</t>
  </si>
  <si>
    <t xml:space="preserve">Bexar County Department of Community Resources</t>
  </si>
  <si>
    <t xml:space="preserve">+12103353666</t>
  </si>
  <si>
    <t xml:space="preserve">Bexar</t>
  </si>
  <si>
    <t xml:space="preserve">San Antonio, City of, Department of Human Services</t>
  </si>
  <si>
    <t xml:space="preserve">+12102078198</t>
  </si>
  <si>
    <t xml:space="preserve">Community Action Corporation of South Texas</t>
  </si>
  <si>
    <t xml:space="preserve">+13616640145</t>
  </si>
  <si>
    <t xml:space="preserve">Alice</t>
  </si>
  <si>
    <t xml:space="preserve">Hidalgo, Cameron, Webb</t>
  </si>
  <si>
    <t xml:space="preserve">Combined Community Action, Inc.</t>
  </si>
  <si>
    <t xml:space="preserve">+19795402980</t>
  </si>
  <si>
    <t xml:space="preserve">Giddings</t>
  </si>
  <si>
    <t xml:space="preserve">Fort Bend, Hays, Bastrop</t>
  </si>
  <si>
    <t xml:space="preserve">City of Austin Health and Human Services Department</t>
  </si>
  <si>
    <t xml:space="preserve">+15129725000</t>
  </si>
  <si>
    <t xml:space="preserve">Austin</t>
  </si>
  <si>
    <t xml:space="preserve">Travis</t>
  </si>
  <si>
    <t xml:space="preserve">Travis County Health &amp; Human Services/Veterans Services</t>
  </si>
  <si>
    <t xml:space="preserve">+15128547250</t>
  </si>
  <si>
    <t xml:space="preserve">Hidalgo County Community Services Agency</t>
  </si>
  <si>
    <t xml:space="preserve">+19563836240</t>
  </si>
  <si>
    <t xml:space="preserve">Edinburg</t>
  </si>
  <si>
    <t xml:space="preserve">Hidalgo</t>
  </si>
  <si>
    <t xml:space="preserve">El Paso Community Action, Project BRAVO</t>
  </si>
  <si>
    <t xml:space="preserve">+19155624100</t>
  </si>
  <si>
    <t xml:space="preserve">El Paso</t>
  </si>
  <si>
    <t xml:space="preserve">How to use this sheet</t>
  </si>
  <si>
    <t xml:space="preserve">What this is</t>
  </si>
  <si>
    <t xml:space="preserve">16 CEAP providers serving the ten launch counties — 18.4M people, 59% of Texas. Ranked by the cold-start priority score: nothing is verified yet, so the score is reach + volatility. Harris County sits at the top because it should.</t>
  </si>
  <si>
    <t xml:space="preserve">Which cells to edit</t>
  </si>
  <si>
    <t xml:space="preserve">Only the YELLOW columns, from "Status" rightward. The navy columns to the left are call context — leave them alone; they are how the row matches back to the database.</t>
  </si>
  <si>
    <t xml:space="preserve">Blank beats guessed</t>
  </si>
  <si>
    <t xml:space="preserve">If it was not said, leave the cell empty and put the reason in Note ("refused", "did not know", "ran out of time"). A guessed field poisons the freshness claim, which is the whole product. VAs are measured on accuracy, never on how many cells are full.</t>
  </si>
  <si>
    <t xml:space="preserve">Verify the row first</t>
  </si>
  <si>
    <t xml:space="preserve">Every row came from a model reading a PDF. Before trusting the name or counties, confirm the phone actually reaches that organization. If it does not, set Call outcome to wrong_number and stop.</t>
  </si>
  <si>
    <t xml:space="preserve">Three attempts</t>
  </si>
  <si>
    <t xml:space="preserve">Different days, different times. Log every attempt including voicemail and no-answer. Then leave it — an honest "we could not reach them" beats a stale green status.</t>
  </si>
  <si>
    <t xml:space="preserve">THE CALL</t>
  </si>
  <si>
    <t xml:space="preserve"> </t>
  </si>
  <si>
    <t xml:space="preserve">1 · Open</t>
  </si>
  <si>
    <t xml:space="preserve">"Hi, this is [name] — I am calling from CornerHelp, we are the site that lists which programs are taking applications. We send people to you. I have about two minutes of questions so we are not sending you folks you cannot help. Is now alright, or should I call back?"</t>
  </si>
  <si>
    <t xml:space="preserve">2 · Status</t>
  </si>
  <si>
    <t xml:space="preserve">"How far into the month is the funding usually lasting right now?" — never a yes/no question. Captures Status, Funding lasts until, Reopens on.</t>
  </si>
  <si>
    <t xml:space="preserve">3 · Practicals</t>
  </si>
  <si>
    <t xml:space="preserve">Read the prefilled facts back as statements: "I have you as walk-in, Monday to Thursday, doors at eight, capping around 40 a day. Still right?" Captures How to apply, Hours, Daily cap, Documents required.</t>
  </si>
  <si>
    <t xml:space="preserve">4 · The money question</t>
  </si>
  <si>
    <t xml:space="preserve">"What is the most common reason somebody gets turned away here?" Record it VERBATIM, in their words. This is the highest-value field on the sheet and no competitor can scrape it.</t>
  </si>
  <si>
    <t xml:space="preserve">5 · Read back</t>
  </si>
  <si>
    <t xml:space="preserve">Say the whole record back out loud, then: "I will put today's date on it so people know it is current. If anything changes, there is a link on your listing to update it yourself."</t>
  </si>
  <si>
    <t xml:space="preserve">NEVER</t>
  </si>
  <si>
    <t xml:space="preserve">Do not say</t>
  </si>
  <si>
    <t xml:space="preserve">Partner. Work with. Affiliated with. On behalf of. We are with the state. Calling for a client.</t>
  </si>
  <si>
    <t xml:space="preserve">Do not do</t>
  </si>
  <si>
    <t xml:space="preserve">Claim a partnership or referral agreement · ask for client names or case data · offer anything of value for information · promise traffic or leads · negotiate placement · argue with a removal request. Any of these is a same-day retrain.</t>
  </si>
  <si>
    <t xml:space="preserve">Removal request</t>
  </si>
  <si>
    <t xml:space="preserve">Honor it same day, no second ask. Log it. That is the reputation the whole operation runs on.</t>
  </si>
  <si>
    <t xml:space="preserve">EXAMPLE ROW</t>
  </si>
  <si>
    <t xml:space="preserve">A worked example of the expected format. It lives here, not on the Call Sheet, so it can never be mistaken for data and imported as a real listing.</t>
  </si>
  <si>
    <t xml:space="preserve">accepting</t>
  </si>
  <si>
    <t xml:space="preserve">around the 8th–10th</t>
  </si>
  <si>
    <t xml:space="preserve">2026-10-01</t>
  </si>
  <si>
    <t xml:space="preserve">walk_in</t>
  </si>
  <si>
    <t xml:space="preserve">Mon–Thu, doors at 8:00</t>
  </si>
  <si>
    <t xml:space="preserve">40</t>
  </si>
  <si>
    <t xml:space="preserve">photo ID; SSN cards all household members; current electric bill; 30 days income all adults</t>
  </si>
  <si>
    <t xml:space="preserve">"People come in without the income for everybody in the house"</t>
  </si>
  <si>
    <t xml:space="preserve">new intake system starting November</t>
  </si>
  <si>
    <t xml:space="preserve">Denise, intake</t>
  </si>
  <si>
    <t xml:space="preserve">reached</t>
  </si>
  <si>
    <t xml:space="preserve">2026-09-03</t>
  </si>
  <si>
    <t xml:space="preserve">JM</t>
  </si>
  <si>
    <t xml:space="preserve">PROGRESS</t>
  </si>
  <si>
    <t xml:space="preserve">Calls logged</t>
  </si>
  <si>
    <t xml:space="preserve">Reached</t>
  </si>
  <si>
    <t xml:space="preserve">Currently accepting</t>
  </si>
  <si>
    <t xml:space="preserve">Reach rate</t>
  </si>
  <si>
    <t xml:space="preserve">This is the number the staffing model is guessing at (it assumes 60%). Measure it here.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</si>
</sst>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6B78A0"/>
      <name val="Arial"/>
      <family val="0"/>
      <charset val="1"/>
    </font>
    <font>
      <b val="true"/>
      <sz val="9"/>
      <color rgb="FF8A6D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C2B5E"/>
      <name val="Arial"/>
      <family val="0"/>
      <charset val="1"/>
    </font>
    <font>
      <sz val="10"/>
      <color rgb="FF1C2B5E"/>
      <name val="Arial"/>
      <family val="0"/>
      <charset val="1"/>
    </font>
    <font>
      <sz val="9"/>
      <color rgb="FF6B78A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8A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2B5E"/>
        <bgColor rgb="FF333333"/>
      </patternFill>
    </fill>
    <fill>
      <patternFill patternType="solid">
        <fgColor rgb="FFF5F6FA"/>
        <bgColor rgb="FFF1F4FC"/>
      </patternFill>
    </fill>
    <fill>
      <patternFill patternType="solid">
        <fgColor rgb="FFFFF9D9"/>
        <bgColor rgb="FFF5F6FA"/>
      </patternFill>
    </fill>
    <fill>
      <patternFill patternType="solid">
        <fgColor rgb="FFC41F4E"/>
        <bgColor rgb="FF993366"/>
      </patternFill>
    </fill>
    <fill>
      <patternFill patternType="solid">
        <fgColor rgb="FFF1F4FC"/>
        <bgColor rgb="FFF5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4F2"/>
      </left>
      <right style="thin">
        <color rgb="FFDFE4F2"/>
      </right>
      <top style="thin">
        <color rgb="FFDFE4F2"/>
      </top>
      <bottom style="thin">
        <color rgb="FFDFE4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C2B5E"/>
          <bgColor rgb="FF000000"/>
        </patternFill>
      </fill>
    </dxf>
    <dxf>
      <fill>
        <patternFill patternType="solid">
          <fgColor rgb="FFF1F4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41F4E"/>
          <bgColor rgb="FF000000"/>
        </patternFill>
      </fill>
    </dxf>
    <dxf>
      <fill>
        <patternFill patternType="solid">
          <fgColor rgb="FFFFF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008080"/>
      <rgbColor rgb="FFC0C0C0"/>
      <rgbColor rgb="FF808080"/>
      <rgbColor rgb="FF9999FF"/>
      <rgbColor rgb="FFC41F4E"/>
      <rgbColor rgb="FFFFF9D9"/>
      <rgbColor rgb="FFF1F4FC"/>
      <rgbColor rgb="FF660066"/>
      <rgbColor rgb="FFFF8080"/>
      <rgbColor rgb="FF0066CC"/>
      <rgbColor rgb="FFDFE4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8A0"/>
      <rgbColor rgb="FF969696"/>
      <rgbColor rgb="FF1C2B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26"/>
    <col collapsed="false" customWidth="true" hidden="false" outlineLevel="0" max="14" min="14" style="0" width="11"/>
    <col collapsed="false" customWidth="true" hidden="false" outlineLevel="0" max="15" min="15" style="0" width="40"/>
    <col collapsed="false" customWidth="true" hidden="false" outlineLevel="0" max="16" min="16" style="0" width="46"/>
    <col collapsed="false" customWidth="true" hidden="false" outlineLevel="0" max="17" min="17" style="0" width="30"/>
    <col collapsed="false" customWidth="true" hidden="false" outlineLevel="0" max="18" min="18" style="0" width="18"/>
    <col collapsed="false" customWidth="true" hidden="false" outlineLevel="0" max="19" min="19" style="0" width="17"/>
    <col collapsed="false" customWidth="true" hidden="false" outlineLevel="0" max="20" min="20" style="0" width="40"/>
    <col collapsed="false" customWidth="true" hidden="false" outlineLevel="0" max="21" min="21" style="0" width="14"/>
    <col collapsed="false" customWidth="true" hidden="false" outlineLevel="0" max="22" min="22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33.7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</row>
    <row r="4" customFormat="false" ht="30" hidden="false" customHeight="true" outlineLevel="0" collapsed="false">
      <c r="A4" s="6" t="n">
        <v>1</v>
      </c>
      <c r="B4" s="7" t="s">
        <v>25</v>
      </c>
      <c r="C4" s="7" t="s">
        <v>26</v>
      </c>
      <c r="D4" s="6" t="s">
        <v>27</v>
      </c>
      <c r="E4" s="6" t="s">
        <v>28</v>
      </c>
      <c r="F4" s="6" t="n">
        <v>3</v>
      </c>
      <c r="G4" s="8" t="n">
        <v>5745696</v>
      </c>
      <c r="H4" s="7" t="s">
        <v>29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customFormat="false" ht="30" hidden="false" customHeight="true" outlineLevel="0" collapsed="false">
      <c r="A5" s="10" t="n">
        <v>2</v>
      </c>
      <c r="B5" s="11" t="s">
        <v>30</v>
      </c>
      <c r="C5" s="11" t="s">
        <v>26</v>
      </c>
      <c r="D5" s="10" t="s">
        <v>31</v>
      </c>
      <c r="E5" s="10" t="s">
        <v>28</v>
      </c>
      <c r="F5" s="10" t="n">
        <v>3</v>
      </c>
      <c r="G5" s="12" t="n">
        <v>5745696</v>
      </c>
      <c r="H5" s="11" t="s">
        <v>29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customFormat="false" ht="30" hidden="false" customHeight="true" outlineLevel="0" collapsed="false">
      <c r="A6" s="6" t="n">
        <v>3</v>
      </c>
      <c r="B6" s="7" t="s">
        <v>32</v>
      </c>
      <c r="C6" s="7" t="s">
        <v>26</v>
      </c>
      <c r="D6" s="6" t="s">
        <v>33</v>
      </c>
      <c r="E6" s="6" t="s">
        <v>34</v>
      </c>
      <c r="F6" s="6" t="n">
        <v>10</v>
      </c>
      <c r="G6" s="8" t="n">
        <v>3014259</v>
      </c>
      <c r="H6" s="7" t="s">
        <v>35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customFormat="false" ht="30" hidden="false" customHeight="true" outlineLevel="0" collapsed="false">
      <c r="A7" s="10" t="n">
        <v>4</v>
      </c>
      <c r="B7" s="11" t="s">
        <v>36</v>
      </c>
      <c r="C7" s="11" t="s">
        <v>26</v>
      </c>
      <c r="D7" s="10" t="s">
        <v>37</v>
      </c>
      <c r="E7" s="10" t="s">
        <v>38</v>
      </c>
      <c r="F7" s="10" t="n">
        <v>19</v>
      </c>
      <c r="G7" s="12" t="n">
        <v>2952512</v>
      </c>
      <c r="H7" s="11" t="s">
        <v>39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customFormat="false" ht="30" hidden="false" customHeight="true" outlineLevel="0" collapsed="false">
      <c r="A8" s="6" t="n">
        <v>5</v>
      </c>
      <c r="B8" s="7" t="s">
        <v>40</v>
      </c>
      <c r="C8" s="7" t="s">
        <v>26</v>
      </c>
      <c r="D8" s="6" t="s">
        <v>41</v>
      </c>
      <c r="E8" s="6" t="s">
        <v>42</v>
      </c>
      <c r="F8" s="6" t="n">
        <v>1</v>
      </c>
      <c r="G8" s="8" t="n">
        <v>2823843</v>
      </c>
      <c r="H8" s="7" t="s">
        <v>42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customFormat="false" ht="30" hidden="false" customHeight="true" outlineLevel="0" collapsed="false">
      <c r="A9" s="10" t="n">
        <v>6</v>
      </c>
      <c r="B9" s="11" t="s">
        <v>43</v>
      </c>
      <c r="C9" s="11" t="s">
        <v>26</v>
      </c>
      <c r="D9" s="10" t="s">
        <v>44</v>
      </c>
      <c r="E9" s="10" t="s">
        <v>42</v>
      </c>
      <c r="F9" s="10" t="n">
        <v>1</v>
      </c>
      <c r="G9" s="12" t="n">
        <v>2823843</v>
      </c>
      <c r="H9" s="11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customFormat="false" ht="30" hidden="false" customHeight="true" outlineLevel="0" collapsed="false">
      <c r="A10" s="6" t="n">
        <v>7</v>
      </c>
      <c r="B10" s="7" t="s">
        <v>45</v>
      </c>
      <c r="C10" s="7" t="s">
        <v>26</v>
      </c>
      <c r="D10" s="6" t="s">
        <v>46</v>
      </c>
      <c r="E10" s="6" t="s">
        <v>47</v>
      </c>
      <c r="F10" s="6" t="n">
        <v>12</v>
      </c>
      <c r="G10" s="8" t="n">
        <v>2679447</v>
      </c>
      <c r="H10" s="7" t="s">
        <v>48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customFormat="false" ht="30" hidden="false" customHeight="true" outlineLevel="0" collapsed="false">
      <c r="A11" s="10" t="n">
        <v>8</v>
      </c>
      <c r="B11" s="11" t="s">
        <v>49</v>
      </c>
      <c r="C11" s="11" t="s">
        <v>26</v>
      </c>
      <c r="D11" s="10" t="s">
        <v>50</v>
      </c>
      <c r="E11" s="10" t="s">
        <v>51</v>
      </c>
      <c r="F11" s="10" t="n">
        <v>1</v>
      </c>
      <c r="G11" s="12" t="n">
        <v>2373979</v>
      </c>
      <c r="H11" s="11" t="s">
        <v>52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customFormat="false" ht="30" hidden="false" customHeight="true" outlineLevel="0" collapsed="false">
      <c r="A12" s="6" t="n">
        <v>9</v>
      </c>
      <c r="B12" s="7" t="s">
        <v>53</v>
      </c>
      <c r="C12" s="7" t="s">
        <v>26</v>
      </c>
      <c r="D12" s="6" t="s">
        <v>54</v>
      </c>
      <c r="E12" s="6" t="s">
        <v>47</v>
      </c>
      <c r="F12" s="6" t="n">
        <v>1</v>
      </c>
      <c r="G12" s="8" t="n">
        <v>2107424</v>
      </c>
      <c r="H12" s="7" t="s">
        <v>55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customFormat="false" ht="30" hidden="false" customHeight="true" outlineLevel="0" collapsed="false">
      <c r="A13" s="10" t="n">
        <v>10</v>
      </c>
      <c r="B13" s="11" t="s">
        <v>56</v>
      </c>
      <c r="C13" s="11" t="s">
        <v>26</v>
      </c>
      <c r="D13" s="10" t="s">
        <v>57</v>
      </c>
      <c r="E13" s="10" t="s">
        <v>47</v>
      </c>
      <c r="F13" s="10" t="n">
        <v>1</v>
      </c>
      <c r="G13" s="12" t="n">
        <v>2107424</v>
      </c>
      <c r="H13" s="11" t="s">
        <v>55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customFormat="false" ht="30" hidden="false" customHeight="true" outlineLevel="0" collapsed="false">
      <c r="A14" s="6" t="n">
        <v>11</v>
      </c>
      <c r="B14" s="7" t="s">
        <v>58</v>
      </c>
      <c r="C14" s="7" t="s">
        <v>26</v>
      </c>
      <c r="D14" s="6" t="s">
        <v>59</v>
      </c>
      <c r="E14" s="6" t="s">
        <v>60</v>
      </c>
      <c r="F14" s="6" t="n">
        <v>14</v>
      </c>
      <c r="G14" s="8" t="n">
        <v>1891352</v>
      </c>
      <c r="H14" s="7" t="s">
        <v>61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customFormat="false" ht="30" hidden="false" customHeight="true" outlineLevel="0" collapsed="false">
      <c r="A15" s="10" t="n">
        <v>12</v>
      </c>
      <c r="B15" s="11" t="s">
        <v>62</v>
      </c>
      <c r="C15" s="11" t="s">
        <v>26</v>
      </c>
      <c r="D15" s="10" t="s">
        <v>63</v>
      </c>
      <c r="E15" s="10" t="s">
        <v>64</v>
      </c>
      <c r="F15" s="10" t="n">
        <v>10</v>
      </c>
      <c r="G15" s="12" t="n">
        <v>1670147</v>
      </c>
      <c r="H15" s="11" t="s">
        <v>65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customFormat="false" ht="30" hidden="false" customHeight="true" outlineLevel="0" collapsed="false">
      <c r="A16" s="6" t="n">
        <v>13</v>
      </c>
      <c r="B16" s="7" t="s">
        <v>66</v>
      </c>
      <c r="C16" s="7" t="s">
        <v>26</v>
      </c>
      <c r="D16" s="6" t="s">
        <v>67</v>
      </c>
      <c r="E16" s="6" t="s">
        <v>68</v>
      </c>
      <c r="F16" s="6" t="n">
        <v>1</v>
      </c>
      <c r="G16" s="8" t="n">
        <v>1642866</v>
      </c>
      <c r="H16" s="7" t="s">
        <v>69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customFormat="false" ht="30" hidden="false" customHeight="true" outlineLevel="0" collapsed="false">
      <c r="A17" s="10" t="n">
        <v>14</v>
      </c>
      <c r="B17" s="11" t="s">
        <v>70</v>
      </c>
      <c r="C17" s="11" t="s">
        <v>26</v>
      </c>
      <c r="D17" s="10" t="s">
        <v>71</v>
      </c>
      <c r="E17" s="10" t="s">
        <v>68</v>
      </c>
      <c r="F17" s="10" t="n">
        <v>1</v>
      </c>
      <c r="G17" s="12" t="n">
        <v>1642866</v>
      </c>
      <c r="H17" s="11" t="s">
        <v>69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customFormat="false" ht="30" hidden="false" customHeight="true" outlineLevel="0" collapsed="false">
      <c r="A18" s="6" t="n">
        <v>15</v>
      </c>
      <c r="B18" s="7" t="s">
        <v>72</v>
      </c>
      <c r="C18" s="7" t="s">
        <v>26</v>
      </c>
      <c r="D18" s="6" t="s">
        <v>73</v>
      </c>
      <c r="E18" s="6" t="s">
        <v>74</v>
      </c>
      <c r="F18" s="6" t="n">
        <v>1</v>
      </c>
      <c r="G18" s="8" t="n">
        <v>869184</v>
      </c>
      <c r="H18" s="7" t="s">
        <v>75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customFormat="false" ht="30" hidden="false" customHeight="true" outlineLevel="0" collapsed="false">
      <c r="A19" s="10" t="n">
        <v>16</v>
      </c>
      <c r="B19" s="11" t="s">
        <v>76</v>
      </c>
      <c r="C19" s="11" t="s">
        <v>26</v>
      </c>
      <c r="D19" s="10" t="s">
        <v>77</v>
      </c>
      <c r="E19" s="10" t="s">
        <v>78</v>
      </c>
      <c r="F19" s="10" t="n">
        <v>1</v>
      </c>
      <c r="G19" s="12" t="n">
        <v>865588</v>
      </c>
      <c r="H19" s="11" t="s">
        <v>78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</sheetData>
  <autoFilter ref="A3:V19"/>
  <mergeCells count="3">
    <mergeCell ref="A1:V1"/>
    <mergeCell ref="A2:H2"/>
    <mergeCell ref="I2:V2"/>
  </mergeCells>
  <dataValidations count="3">
    <dataValidation allowBlank="true" errorStyle="stop" operator="between" prompt="Never ask a yes/no question. Ask: &quot;How far into the month is the funding usually lasting right now?&quot;" promptTitle="Status" showDropDown="false" showErrorMessage="false" showInputMessage="true" sqref="I4:I19" type="list">
      <formula1>"accepting,waitlist,funds_exhausted,seasonal_closed,appointment_only,unknown"</formula1>
      <formula2>0</formula2>
    </dataValidation>
    <dataValidation allowBlank="true" errorStyle="stop" operator="between" prompt="Read the prefilled fact back as a statement." promptTitle="How to apply" showDropDown="false" showErrorMessage="false" showInputMessage="true" sqref="L4:L19" type="list">
      <formula1>"walk_in,phone,online,appointment"</formula1>
      <formula2>0</formula2>
    </dataValidation>
    <dataValidation allowBlank="true" errorStyle="stop" operator="between" prompt="Log every attempt, including the ones that fail." promptTitle="Call outcome" showDropDown="false" showErrorMessage="false" showInputMessage="true" sqref="S4:S19" type="list">
      <formula1>"reached,voicemail,no_answer,busy,wrong_number,callback_booked,refused,gatekeeper,disconnected"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4"/>
  </cols>
  <sheetData>
    <row r="1" customFormat="false" ht="24" hidden="false" customHeight="true" outlineLevel="0" collapsed="false">
      <c r="A1" s="13" t="s">
        <v>79</v>
      </c>
      <c r="B1" s="13"/>
    </row>
    <row r="3" customFormat="false" ht="30" hidden="false" customHeight="true" outlineLevel="0" collapsed="false">
      <c r="A3" s="14" t="s">
        <v>80</v>
      </c>
      <c r="B3" s="15" t="s">
        <v>81</v>
      </c>
    </row>
    <row r="4" customFormat="false" ht="30" hidden="false" customHeight="true" outlineLevel="0" collapsed="false">
      <c r="A4" s="14" t="s">
        <v>82</v>
      </c>
      <c r="B4" s="15" t="s">
        <v>83</v>
      </c>
    </row>
    <row r="5" customFormat="false" ht="30" hidden="false" customHeight="true" outlineLevel="0" collapsed="false">
      <c r="A5" s="14" t="s">
        <v>84</v>
      </c>
      <c r="B5" s="15" t="s">
        <v>85</v>
      </c>
    </row>
    <row r="6" customFormat="false" ht="30" hidden="false" customHeight="true" outlineLevel="0" collapsed="false">
      <c r="A6" s="14" t="s">
        <v>86</v>
      </c>
      <c r="B6" s="15" t="s">
        <v>87</v>
      </c>
    </row>
    <row r="7" customFormat="false" ht="30" hidden="false" customHeight="true" outlineLevel="0" collapsed="false">
      <c r="A7" s="14" t="s">
        <v>88</v>
      </c>
      <c r="B7" s="15" t="s">
        <v>89</v>
      </c>
    </row>
    <row r="9" customFormat="false" ht="15" hidden="false" customHeight="false" outlineLevel="0" collapsed="false">
      <c r="A9" s="16" t="s">
        <v>90</v>
      </c>
      <c r="B9" s="17" t="s">
        <v>91</v>
      </c>
    </row>
    <row r="10" customFormat="false" ht="30" hidden="false" customHeight="true" outlineLevel="0" collapsed="false">
      <c r="A10" s="14" t="s">
        <v>92</v>
      </c>
      <c r="B10" s="15" t="s">
        <v>93</v>
      </c>
    </row>
    <row r="11" customFormat="false" ht="30" hidden="false" customHeight="true" outlineLevel="0" collapsed="false">
      <c r="A11" s="14" t="s">
        <v>94</v>
      </c>
      <c r="B11" s="15" t="s">
        <v>95</v>
      </c>
    </row>
    <row r="12" customFormat="false" ht="30" hidden="false" customHeight="true" outlineLevel="0" collapsed="false">
      <c r="A12" s="14" t="s">
        <v>96</v>
      </c>
      <c r="B12" s="15" t="s">
        <v>97</v>
      </c>
    </row>
    <row r="13" customFormat="false" ht="30" hidden="false" customHeight="true" outlineLevel="0" collapsed="false">
      <c r="A13" s="14" t="s">
        <v>98</v>
      </c>
      <c r="B13" s="15" t="s">
        <v>99</v>
      </c>
    </row>
    <row r="14" customFormat="false" ht="30" hidden="false" customHeight="true" outlineLevel="0" collapsed="false">
      <c r="A14" s="14" t="s">
        <v>100</v>
      </c>
      <c r="B14" s="15" t="s">
        <v>101</v>
      </c>
    </row>
    <row r="16" customFormat="false" ht="15" hidden="false" customHeight="false" outlineLevel="0" collapsed="false">
      <c r="A16" s="16" t="s">
        <v>102</v>
      </c>
      <c r="B16" s="17" t="s">
        <v>91</v>
      </c>
    </row>
    <row r="17" customFormat="false" ht="30" hidden="false" customHeight="true" outlineLevel="0" collapsed="false">
      <c r="A17" s="14" t="s">
        <v>103</v>
      </c>
      <c r="B17" s="15" t="s">
        <v>104</v>
      </c>
    </row>
    <row r="18" customFormat="false" ht="30" hidden="false" customHeight="true" outlineLevel="0" collapsed="false">
      <c r="A18" s="14" t="s">
        <v>105</v>
      </c>
      <c r="B18" s="15" t="s">
        <v>106</v>
      </c>
    </row>
    <row r="19" customFormat="false" ht="15" hidden="false" customHeight="false" outlineLevel="0" collapsed="false">
      <c r="A19" s="14" t="s">
        <v>107</v>
      </c>
      <c r="B19" s="15" t="s">
        <v>108</v>
      </c>
    </row>
    <row r="21" customFormat="false" ht="15" hidden="false" customHeight="false" outlineLevel="0" collapsed="false">
      <c r="A21" s="16" t="s">
        <v>109</v>
      </c>
      <c r="B21" s="17" t="s">
        <v>91</v>
      </c>
    </row>
    <row r="22" customFormat="false" ht="30" hidden="false" customHeight="true" outlineLevel="0" collapsed="false">
      <c r="A22" s="14"/>
      <c r="B22" s="15" t="s">
        <v>110</v>
      </c>
    </row>
    <row r="23" customFormat="false" ht="15" hidden="false" customHeight="false" outlineLevel="0" collapsed="false">
      <c r="A23" s="18" t="s">
        <v>11</v>
      </c>
      <c r="B23" s="19" t="s">
        <v>111</v>
      </c>
    </row>
    <row r="24" customFormat="false" ht="15" hidden="false" customHeight="false" outlineLevel="0" collapsed="false">
      <c r="A24" s="18" t="s">
        <v>12</v>
      </c>
      <c r="B24" s="19" t="s">
        <v>112</v>
      </c>
    </row>
    <row r="25" customFormat="false" ht="15" hidden="false" customHeight="false" outlineLevel="0" collapsed="false">
      <c r="A25" s="18" t="s">
        <v>13</v>
      </c>
      <c r="B25" s="19" t="s">
        <v>113</v>
      </c>
    </row>
    <row r="26" customFormat="false" ht="15" hidden="false" customHeight="false" outlineLevel="0" collapsed="false">
      <c r="A26" s="18" t="s">
        <v>14</v>
      </c>
      <c r="B26" s="19" t="s">
        <v>114</v>
      </c>
    </row>
    <row r="27" customFormat="false" ht="15" hidden="false" customHeight="false" outlineLevel="0" collapsed="false">
      <c r="A27" s="18" t="s">
        <v>15</v>
      </c>
      <c r="B27" s="19" t="s">
        <v>115</v>
      </c>
    </row>
    <row r="28" customFormat="false" ht="15" hidden="false" customHeight="false" outlineLevel="0" collapsed="false">
      <c r="A28" s="18" t="s">
        <v>16</v>
      </c>
      <c r="B28" s="19" t="s">
        <v>116</v>
      </c>
    </row>
    <row r="29" customFormat="false" ht="15" hidden="false" customHeight="false" outlineLevel="0" collapsed="false">
      <c r="A29" s="18" t="s">
        <v>17</v>
      </c>
      <c r="B29" s="19" t="s">
        <v>117</v>
      </c>
    </row>
    <row r="30" customFormat="false" ht="15" hidden="false" customHeight="false" outlineLevel="0" collapsed="false">
      <c r="A30" s="18" t="s">
        <v>18</v>
      </c>
      <c r="B30" s="19" t="s">
        <v>118</v>
      </c>
    </row>
    <row r="31" customFormat="false" ht="15" hidden="false" customHeight="false" outlineLevel="0" collapsed="false">
      <c r="A31" s="18" t="s">
        <v>19</v>
      </c>
      <c r="B31" s="19" t="s">
        <v>119</v>
      </c>
    </row>
    <row r="32" customFormat="false" ht="15" hidden="false" customHeight="false" outlineLevel="0" collapsed="false">
      <c r="A32" s="18" t="s">
        <v>20</v>
      </c>
      <c r="B32" s="19" t="s">
        <v>120</v>
      </c>
    </row>
    <row r="33" customFormat="false" ht="15" hidden="false" customHeight="false" outlineLevel="0" collapsed="false">
      <c r="A33" s="18" t="s">
        <v>21</v>
      </c>
      <c r="B33" s="19" t="s">
        <v>121</v>
      </c>
    </row>
    <row r="34" customFormat="false" ht="15" hidden="false" customHeight="false" outlineLevel="0" collapsed="false">
      <c r="A34" s="18" t="s">
        <v>22</v>
      </c>
      <c r="B34" s="19"/>
    </row>
    <row r="35" customFormat="false" ht="15" hidden="false" customHeight="false" outlineLevel="0" collapsed="false">
      <c r="A35" s="18" t="s">
        <v>23</v>
      </c>
      <c r="B35" s="19" t="s">
        <v>122</v>
      </c>
    </row>
    <row r="36" customFormat="false" ht="15" hidden="false" customHeight="false" outlineLevel="0" collapsed="false">
      <c r="A36" s="18" t="s">
        <v>24</v>
      </c>
      <c r="B36" s="19" t="s">
        <v>123</v>
      </c>
    </row>
    <row r="38" customFormat="false" ht="15" hidden="false" customHeight="false" outlineLevel="0" collapsed="false">
      <c r="A38" s="16" t="s">
        <v>124</v>
      </c>
      <c r="B38" s="17" t="s">
        <v>91</v>
      </c>
    </row>
    <row r="39" customFormat="false" ht="15" hidden="false" customHeight="false" outlineLevel="0" collapsed="false">
      <c r="A39" s="14" t="s">
        <v>125</v>
      </c>
      <c r="B39" s="20" t="str">
        <f aca="false">COUNTA('Call Sheet'!S4:S19)&amp;" of 16"</f>
        <v>0 of 16</v>
      </c>
    </row>
    <row r="40" customFormat="false" ht="15" hidden="false" customHeight="false" outlineLevel="0" collapsed="false">
      <c r="A40" s="14" t="s">
        <v>126</v>
      </c>
      <c r="B40" s="20" t="n">
        <f aca="false">COUNTIF('Call Sheet'!S4:S19,"reached")</f>
        <v>0</v>
      </c>
    </row>
    <row r="41" customFormat="false" ht="15" hidden="false" customHeight="false" outlineLevel="0" collapsed="false">
      <c r="A41" s="14" t="s">
        <v>127</v>
      </c>
      <c r="B41" s="20" t="n">
        <f aca="false">COUNTIF('Call Sheet'!I4:I19,"accepting")</f>
        <v>0</v>
      </c>
    </row>
    <row r="42" customFormat="false" ht="15" hidden="false" customHeight="false" outlineLevel="0" collapsed="false">
      <c r="A42" s="14" t="s">
        <v>128</v>
      </c>
      <c r="B42" s="21" t="str">
        <f aca="false">IFERROR(COUNTIF('Call Sheet'!S4:S19,"reached")/COUNTA('Call Sheet'!S4:S19),"—")</f>
        <v>—</v>
      </c>
    </row>
    <row r="43" customFormat="false" ht="15" hidden="false" customHeight="false" outlineLevel="0" collapsed="false">
      <c r="B43" s="22" t="s">
        <v>129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2026-09-02T15:11:13Z</dcterms:created>
  <dc:creator>openpyxl</dc:creator>
  <dc:description/>
  <dc:language>en-US</dc:language>
  <cp:lastModifiedBy/>
  <dcterms:modified xsi:type="dcterms:W3CDTF">2026-09-02T15:11:13Z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