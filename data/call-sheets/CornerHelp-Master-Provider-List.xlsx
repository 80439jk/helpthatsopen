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List" sheetId="1" state="visible" r:id="rId3"/>
    <sheet name="How to use" sheetId="2" state="visible" r:id="rId4"/>
  </sheets>
  <definedNames>
    <definedName function="false" hidden="true" localSheetId="0" name="_xlnm._FilterDatabase" vbProcedure="false">'Master List'!$A$3:$W$47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<sst xmlns="http://schemas.openxmlformats.org/spreadsheetml/2006/main" count="331" uniqueCount="245">
  <si>
    <t xml:space="preserve">CornerHelp — master provider call sheet · 44 organizations · all 254 Texas counties</t>
  </si>
  <si>
    <t xml:space="preserve">DO NOT EDIT — call context</t>
  </si>
  <si>
    <t xml:space="preserve">FILL THESE IN — in the order the script asks for them. Blank beats guessed.</t>
  </si>
  <si>
    <t xml:space="preserve">WEEK 1</t>
  </si>
  <si>
    <t xml:space="preserve">#</t>
  </si>
  <si>
    <t xml:space="preserve">Organization</t>
  </si>
  <si>
    <t xml:space="preserve">City</t>
  </si>
  <si>
    <t xml:space="preserve">Phone</t>
  </si>
  <si>
    <t xml:space="preserve">Programs</t>
  </si>
  <si>
    <t xml:space="preserve">Counties</t>
  </si>
  <si>
    <t xml:space="preserve">People reached</t>
  </si>
  <si>
    <t xml:space="preserve">Counties served</t>
  </si>
  <si>
    <t xml:space="preserve">Status</t>
  </si>
  <si>
    <t xml:space="preserve">Funding lasts until</t>
  </si>
  <si>
    <t xml:space="preserve">Reopens on</t>
  </si>
  <si>
    <t xml:space="preserve">How to apply</t>
  </si>
  <si>
    <t xml:space="preserve">Hours</t>
  </si>
  <si>
    <t xml:space="preserve">Daily cap</t>
  </si>
  <si>
    <t xml:space="preserve">Documents required</t>
  </si>
  <si>
    <t xml:space="preserve">Most common reason turned away</t>
  </si>
  <si>
    <t xml:space="preserve">Anything changing</t>
  </si>
  <si>
    <t xml:space="preserve">Spoke with</t>
  </si>
  <si>
    <t xml:space="preserve">Call outcome</t>
  </si>
  <si>
    <t xml:space="preserve">Note</t>
  </si>
  <si>
    <t xml:space="preserve">Called (date)</t>
  </si>
  <si>
    <t xml:space="preserve">VA</t>
  </si>
  <si>
    <t xml:space="preserve">BakerRipley</t>
  </si>
  <si>
    <t xml:space="preserve">Houston</t>
  </si>
  <si>
    <t xml:space="preserve">+17136679400</t>
  </si>
  <si>
    <t xml:space="preserve">CEAP, CSBG</t>
  </si>
  <si>
    <t xml:space="preserve">Brazoria; Galveston; Harris</t>
  </si>
  <si>
    <t xml:space="preserve">Gulf Coast Community Services Association</t>
  </si>
  <si>
    <t xml:space="preserve">+17133934700</t>
  </si>
  <si>
    <t xml:space="preserve">Community Services, Inc.</t>
  </si>
  <si>
    <t xml:space="preserve">Corsicana</t>
  </si>
  <si>
    <t xml:space="preserve">+19038722401</t>
  </si>
  <si>
    <t xml:space="preserve">CEAP, WAP</t>
  </si>
  <si>
    <t xml:space="preserve">Anderson; Collin; Denton; Ellis; Henderson; Hunt; Kaufman; Navarro; Rockwall; Van Zandt</t>
  </si>
  <si>
    <t xml:space="preserve">Texoma Council of Governments</t>
  </si>
  <si>
    <t xml:space="preserve">Sherman</t>
  </si>
  <si>
    <t xml:space="preserve">+19038932161</t>
  </si>
  <si>
    <t xml:space="preserve">CEAP, CSBG, WAP</t>
  </si>
  <si>
    <t xml:space="preserve">Bowie; Camp; Cass; Collin; Cooke; Delta; Denton; Fannin; Franklin; Grayson; Hopkins; Hunt; Lamar; Marion; Morris; Rains; Red River; Rockwall; Titus</t>
  </si>
  <si>
    <t xml:space="preserve">Alamo Area Council of Governments</t>
  </si>
  <si>
    <t xml:space="preserve">San Antonio</t>
  </si>
  <si>
    <t xml:space="preserve">+12103625200</t>
  </si>
  <si>
    <t xml:space="preserve">Atascosa; Bandera; Bexar; Comal; Frio; Gillespie; Guadalupe; Karnes; Kendall; Kerr; Medina; Wilson</t>
  </si>
  <si>
    <t xml:space="preserve">Community Council of Greater Dallas</t>
  </si>
  <si>
    <t xml:space="preserve">Dallas</t>
  </si>
  <si>
    <t xml:space="preserve">+12148715065</t>
  </si>
  <si>
    <t xml:space="preserve">Dallas County Department of Health and Human Services</t>
  </si>
  <si>
    <t xml:space="preserve">+12148191848</t>
  </si>
  <si>
    <t xml:space="preserve">Greater East Texas Community Action Program (GETCAP)</t>
  </si>
  <si>
    <t xml:space="preserve">Nacogdoches</t>
  </si>
  <si>
    <t xml:space="preserve">+18006215746</t>
  </si>
  <si>
    <t xml:space="preserve">Anderson; Angelina; Chambers; Cherokee; Galveston; Gregg; Hardin; Harrison; Henderson; Houston; Jasper; Jefferson; Kaufman; Liberty; Nacogdoches; Newton; Orange; Panola; Polk; Rusk; Sabine; San Augustine; San Jacinto; Shelby; Smith; Trinity; Tyler; Upshur; Van Zandt; Wood</t>
  </si>
  <si>
    <t xml:space="preserve">Fort Worth, City of, Neighborhood Services Department</t>
  </si>
  <si>
    <t xml:space="preserve">Fort Worth</t>
  </si>
  <si>
    <t xml:space="preserve">+18173925790</t>
  </si>
  <si>
    <t xml:space="preserve">Tarrant</t>
  </si>
  <si>
    <t xml:space="preserve">Bexar County Department of Community Resources</t>
  </si>
  <si>
    <t xml:space="preserve">+12103353666</t>
  </si>
  <si>
    <t xml:space="preserve">Bexar</t>
  </si>
  <si>
    <t xml:space="preserve">San Antonio, City of, Department of Human Services</t>
  </si>
  <si>
    <t xml:space="preserve">+12102078198</t>
  </si>
  <si>
    <t xml:space="preserve">Community Action Corporation of South Texas</t>
  </si>
  <si>
    <t xml:space="preserve">Alice</t>
  </si>
  <si>
    <t xml:space="preserve">+13616640145</t>
  </si>
  <si>
    <t xml:space="preserve">Bee; Brooks; Cameron; Duval; Hidalgo; Jim Hogg; Jim Wells; Kenedy; Kleberg; San Patricio; Starr; Webb; Willacy; Zapata</t>
  </si>
  <si>
    <t xml:space="preserve">Combined Community Action, Inc.</t>
  </si>
  <si>
    <t xml:space="preserve">Giddings</t>
  </si>
  <si>
    <t xml:space="preserve">+19795402980</t>
  </si>
  <si>
    <t xml:space="preserve">Austin; Bastrop; Blanco; Caldwell; Colorado; Fayette; Fort Bend; Hays; Lee; Wharton</t>
  </si>
  <si>
    <t xml:space="preserve">Brazos Valley Community Action Programs</t>
  </si>
  <si>
    <t xml:space="preserve">Bryan</t>
  </si>
  <si>
    <t xml:space="preserve">+19795952800</t>
  </si>
  <si>
    <t xml:space="preserve">Brazos; Burleson; Chambers; Grimes; Leon; Liberty; Madison; Montgomery; Robertson; Walker; Waller; Washington</t>
  </si>
  <si>
    <t xml:space="preserve">Hill Country Community Action Association, Inc.</t>
  </si>
  <si>
    <t xml:space="preserve">San Saba</t>
  </si>
  <si>
    <t xml:space="preserve">+13253725167</t>
  </si>
  <si>
    <t xml:space="preserve">Bell; Burnet; Coryell; Erath; Hamilton; Lampasas; Llano; Mason; Milam; Mills; San Saba; Somervell; Williamson</t>
  </si>
  <si>
    <t xml:space="preserve">City of Austin Health and Human Services Department</t>
  </si>
  <si>
    <t xml:space="preserve">Austin</t>
  </si>
  <si>
    <t xml:space="preserve">+15129725000</t>
  </si>
  <si>
    <t xml:space="preserve">Travis</t>
  </si>
  <si>
    <t xml:space="preserve">Travis County Health &amp; Human Services/Veterans Services</t>
  </si>
  <si>
    <t xml:space="preserve">+15128547250</t>
  </si>
  <si>
    <t xml:space="preserve">Community Council of South Central Texas, Inc.</t>
  </si>
  <si>
    <t xml:space="preserve">Seguin</t>
  </si>
  <si>
    <t xml:space="preserve">+18303034376</t>
  </si>
  <si>
    <t xml:space="preserve">Atascosa; Bandera; Brewster; Comal; Crane; Culberson; Dimmit; Edwards; Frio; Gillespie; Guadalupe; Hudspeth; Jeff Davis; Karnes; Kendall; Kerr; Kinney; La Salle; Live Oak; Maverick; McMullen; Medina; Pecos; Presidio; Real; Terrell; Uvalde; Val Verde; Wilson; Zavala</t>
  </si>
  <si>
    <t xml:space="preserve">Hidalgo County Community Services Agency</t>
  </si>
  <si>
    <t xml:space="preserve">Edinburg</t>
  </si>
  <si>
    <t xml:space="preserve">+19563836240</t>
  </si>
  <si>
    <t xml:space="preserve">Hidalgo</t>
  </si>
  <si>
    <t xml:space="preserve">Economic Opportunities Advancement Corporation</t>
  </si>
  <si>
    <t xml:space="preserve">Waco</t>
  </si>
  <si>
    <t xml:space="preserve">+12547530331</t>
  </si>
  <si>
    <t xml:space="preserve">Bosque; Ellis; Falls; Freestone; Hill; Johnson; Limestone; McLennan; Navarro</t>
  </si>
  <si>
    <t xml:space="preserve">El Paso Community Action, Project BRAVO</t>
  </si>
  <si>
    <t xml:space="preserve">El Paso</t>
  </si>
  <si>
    <t xml:space="preserve">+19155624100</t>
  </si>
  <si>
    <t xml:space="preserve">Rolling Plains Management Corporation</t>
  </si>
  <si>
    <t xml:space="preserve">Crowell</t>
  </si>
  <si>
    <t xml:space="preserve">+19406841571</t>
  </si>
  <si>
    <t xml:space="preserve">Archer; Baylor; Brown; Callahan; Clay; Comanche; Cottle; Eastland; Foard; Hardeman; Haskell; Hood; Jack; Jones; Kent; Knox; Montague; Palo Pinto; Parker; Shackelford; Stephens; Stonewall; Taylor; Throckmorton; Wichita; Wilbarger; Wise; Young</t>
  </si>
  <si>
    <t xml:space="preserve">Williamson-Burnet County Opportunities, Inc.</t>
  </si>
  <si>
    <t xml:space="preserve">Georgetown</t>
  </si>
  <si>
    <t xml:space="preserve">+15127631400</t>
  </si>
  <si>
    <t xml:space="preserve">Burnet; Williamson</t>
  </si>
  <si>
    <t xml:space="preserve">Crossroads Community Action</t>
  </si>
  <si>
    <t xml:space="preserve">Victoria</t>
  </si>
  <si>
    <t xml:space="preserve">+18006950314</t>
  </si>
  <si>
    <t xml:space="preserve">Aransas; Bee; Brazoria; Calhoun; DeWitt; Goliad; Gonzales; Jackson; Lavaca; Live Oak; Matagorda; McMullen; Refugio; Victoria; Wharton</t>
  </si>
  <si>
    <t xml:space="preserve">Texas Neighborhood Services</t>
  </si>
  <si>
    <t xml:space="preserve">Weatherford</t>
  </si>
  <si>
    <t xml:space="preserve">+18175985700</t>
  </si>
  <si>
    <t xml:space="preserve">Erath; Hood; Johnson; Palo Pinto; Parker; Somervell; Wise</t>
  </si>
  <si>
    <t xml:space="preserve">West Texas Opportunities, Inc.</t>
  </si>
  <si>
    <t xml:space="preserve">Lamesa</t>
  </si>
  <si>
    <t xml:space="preserve">+18068728354</t>
  </si>
  <si>
    <t xml:space="preserve">Andrews; Borden; Dawson; Ector; Fisher; Gaines; Glasscock; Howard; Loving; Martin; Midland; Mitchell; Nolan; Reeves; Scurry; Upton; Ward; Winkler</t>
  </si>
  <si>
    <t xml:space="preserve">South Plains Community Action Association, Inc.</t>
  </si>
  <si>
    <t xml:space="preserve">Levelland</t>
  </si>
  <si>
    <t xml:space="preserve">+18068946104</t>
  </si>
  <si>
    <t xml:space="preserve">Bailey; Cochran; Crosby; Dickens; Floyd; Garza; Hale; Hockley; King; Lamb; Lubbock; Lynn; Motley; Terry; Yoakum</t>
  </si>
  <si>
    <t xml:space="preserve">Panhandle Community Services</t>
  </si>
  <si>
    <t xml:space="preserve">Amarillo</t>
  </si>
  <si>
    <t xml:space="preserve">+18063722531</t>
  </si>
  <si>
    <t xml:space="preserve">Armstrong; Briscoe; Carson; Castro; Childress; Collingsworth; Dallam; Deaf Smith; Donley; Gray; Hall; Hansford; Hartley; Hemphill; Hutchinson; Lipscomb; Moore; Ochiltree; Oldham; Parmer; Potter; Randall; Roberts; Sherman; Swisher; Wheeler</t>
  </si>
  <si>
    <t xml:space="preserve">Southeast Texas Regional Planning Commission</t>
  </si>
  <si>
    <t xml:space="preserve">Beaumont</t>
  </si>
  <si>
    <t xml:space="preserve">+14098998444</t>
  </si>
  <si>
    <t xml:space="preserve">CEAP</t>
  </si>
  <si>
    <t xml:space="preserve">Hardin; Jefferson; Orange</t>
  </si>
  <si>
    <t xml:space="preserve">Community Action Inc. of Central Texas</t>
  </si>
  <si>
    <t xml:space="preserve">San Marcos</t>
  </si>
  <si>
    <t xml:space="preserve">+15123921161</t>
  </si>
  <si>
    <t xml:space="preserve">Blanco; Caldwell; Hays</t>
  </si>
  <si>
    <t xml:space="preserve">Nueces County Community Action Agency</t>
  </si>
  <si>
    <t xml:space="preserve">Corpus Christi</t>
  </si>
  <si>
    <t xml:space="preserve">+13618837201</t>
  </si>
  <si>
    <t xml:space="preserve">Nueces</t>
  </si>
  <si>
    <t xml:space="preserve">Guadalupe Economic Services Corporation</t>
  </si>
  <si>
    <t xml:space="preserve">Lubbock</t>
  </si>
  <si>
    <t xml:space="preserve">+18067444416</t>
  </si>
  <si>
    <t xml:space="preserve">WAP</t>
  </si>
  <si>
    <t xml:space="preserve">Lubbock, City of, Community Development Department</t>
  </si>
  <si>
    <t xml:space="preserve">+18067752296</t>
  </si>
  <si>
    <t xml:space="preserve">Community Services of Northeast Texas, Inc.</t>
  </si>
  <si>
    <t xml:space="preserve">Linden</t>
  </si>
  <si>
    <t xml:space="preserve">+19037565596</t>
  </si>
  <si>
    <t xml:space="preserve">Bowie; Camp; Cass; Delta; Franklin; Hopkins; Lamar; Marion; Morris; Rains; Red River; Titus</t>
  </si>
  <si>
    <t xml:space="preserve">Webb County Community Action Agency</t>
  </si>
  <si>
    <t xml:space="preserve">Laredo</t>
  </si>
  <si>
    <t xml:space="preserve">+19565234222</t>
  </si>
  <si>
    <t xml:space="preserve">Webb</t>
  </si>
  <si>
    <t xml:space="preserve">Tri-County Community Action, Inc.</t>
  </si>
  <si>
    <t xml:space="preserve">Center</t>
  </si>
  <si>
    <t xml:space="preserve">+19365986315</t>
  </si>
  <si>
    <t xml:space="preserve">Harrison; Jasper; Newton; Panola; Sabine; San Augustine; Shelby; Tyler; Upshur</t>
  </si>
  <si>
    <t xml:space="preserve">Concho Valley Community Action Agency</t>
  </si>
  <si>
    <t xml:space="preserve">San Angelo</t>
  </si>
  <si>
    <t xml:space="preserve">+13256532411</t>
  </si>
  <si>
    <t xml:space="preserve">Coke; Coleman; Concho; Crockett; Irion; Kimble; McCulloch; Menard; Reagan; Runnels; Schleicher; Sterling; Sutton; Tom Green</t>
  </si>
  <si>
    <t xml:space="preserve">Cornerstone Community Action Agency</t>
  </si>
  <si>
    <t xml:space="preserve">Coleman</t>
  </si>
  <si>
    <t xml:space="preserve">+13256254167</t>
  </si>
  <si>
    <t xml:space="preserve">Brown; Callahan; Coleman; Comanche; Eastland; McCulloch; Runnels</t>
  </si>
  <si>
    <t xml:space="preserve">South Texas Development Council</t>
  </si>
  <si>
    <t xml:space="preserve">+19567223995</t>
  </si>
  <si>
    <t xml:space="preserve">Jim Hogg; Starr; Zapata</t>
  </si>
  <si>
    <t xml:space="preserve">Economic Action Committee of the Gulf Coast</t>
  </si>
  <si>
    <t xml:space="preserve">Bay City</t>
  </si>
  <si>
    <t xml:space="preserve">+19792456901</t>
  </si>
  <si>
    <t xml:space="preserve">Matagorda; Wharton</t>
  </si>
  <si>
    <t xml:space="preserve">Community Action Social Services &amp; Education</t>
  </si>
  <si>
    <t xml:space="preserve">Eagle Pass</t>
  </si>
  <si>
    <t xml:space="preserve">+18307737274</t>
  </si>
  <si>
    <t xml:space="preserve">Maverick</t>
  </si>
  <si>
    <t xml:space="preserve">Aspermont Small Business Development Center, Inc.</t>
  </si>
  <si>
    <t xml:space="preserve">Aspermont</t>
  </si>
  <si>
    <t xml:space="preserve">+19409893538</t>
  </si>
  <si>
    <t xml:space="preserve">Haskell; Jones; Kent; Knox; Stonewall; Throckmorton</t>
  </si>
  <si>
    <t xml:space="preserve">Kleberg County Human Services</t>
  </si>
  <si>
    <t xml:space="preserve">Kingsville</t>
  </si>
  <si>
    <t xml:space="preserve">+13615958572</t>
  </si>
  <si>
    <t xml:space="preserve">Kenedy; Kleberg</t>
  </si>
  <si>
    <t xml:space="preserve">Pecos County Community Action Agency</t>
  </si>
  <si>
    <t xml:space="preserve">Fort Stockton</t>
  </si>
  <si>
    <t xml:space="preserve">+14323367526</t>
  </si>
  <si>
    <t xml:space="preserve">Crane; Pecos; Terrell</t>
  </si>
  <si>
    <t xml:space="preserve">How to use this sheet</t>
  </si>
  <si>
    <t xml:space="preserve">Start with WEEK 1</t>
  </si>
  <si>
    <t xml:space="preserve">16 organizations flagged in column A. They are the CEAP providers serving the ten launch counties, and between them they cover 68 counties — 74% of the state. Filter column A to WEEK 1 and work that set first.</t>
  </si>
  <si>
    <t xml:space="preserve">One row = one call</t>
  </si>
  <si>
    <t xml:space="preserve">An organization runs several programs (CEAP, CSBG, WAP). One call covers all of them. The Programs column says which apply.</t>
  </si>
  <si>
    <t xml:space="preserve">Which cells to edit</t>
  </si>
  <si>
    <t xml:space="preserve">Only the YELLOW columns, from Status rightward. Navy columns are call context — leave them alone; they are how the row matches back to the database.</t>
  </si>
  <si>
    <t xml:space="preserve">Blank beats guessed</t>
  </si>
  <si>
    <t xml:space="preserve">If it was not said, leave it empty and put the reason in Note ("refused", "did not know", "ran out of time"). A guessed field poisons the freshness claim, which is the whole product. VAs are measured on accuracy, never on how many cells are full.</t>
  </si>
  <si>
    <t xml:space="preserve">Verify the row first</t>
  </si>
  <si>
    <t xml:space="preserve">Every row came from a model reading a PDF. Before trusting the name or counties, confirm the phone actually reaches that organization. If it does not, set Call outcome to wrong_number and stop.</t>
  </si>
  <si>
    <t xml:space="preserve">Three attempts</t>
  </si>
  <si>
    <t xml:space="preserve">Different days, different times. Log every attempt including voicemail and no-answer. Then leave it — an honest "we could not reach them" beats a stale green.</t>
  </si>
  <si>
    <t xml:space="preserve">THE CALL</t>
  </si>
  <si>
    <t xml:space="preserve"> </t>
  </si>
  <si>
    <t xml:space="preserve">1 · Open</t>
  </si>
  <si>
    <t xml:space="preserve">"Hi, this is [name] — I am calling from CornerHelp, we are the site that lists which programs are taking applications. We send people to you. I have about two minutes of questions so we are not sending you folks you cannot help. Is now alright, or should I call back?"</t>
  </si>
  <si>
    <t xml:space="preserve">2 · Status</t>
  </si>
  <si>
    <t xml:space="preserve">"How far into the month is the funding usually lasting right now?" — never a yes/no question. Captures Status, Funding lasts until, Reopens on.</t>
  </si>
  <si>
    <t xml:space="preserve">3 · Practicals</t>
  </si>
  <si>
    <t xml:space="preserve">Read the prefilled facts back as statements: "I have you as walk-in, Monday to Thursday, doors at eight, capping around 40 a day. Still right?" Captures How to apply, Hours, Daily cap, Documents required.</t>
  </si>
  <si>
    <t xml:space="preserve">4 · The money question</t>
  </si>
  <si>
    <t xml:space="preserve">"What is the most common reason somebody gets turned away here?" Record it VERBATIM, in their words. Highest-value field on the sheet and no competitor can scrape it.</t>
  </si>
  <si>
    <t xml:space="preserve">5 · Read back</t>
  </si>
  <si>
    <t xml:space="preserve">Say the record back out loud, then: "I will put today's date on it so people know it is current. If anything changes, there is a link on your listing to update it yourself."</t>
  </si>
  <si>
    <t xml:space="preserve">NEVER</t>
  </si>
  <si>
    <t xml:space="preserve">Do not say</t>
  </si>
  <si>
    <t xml:space="preserve">Partner. Work with. Affiliated with. On behalf of. We are with the state. Calling for a client.</t>
  </si>
  <si>
    <t xml:space="preserve">Do not do</t>
  </si>
  <si>
    <t xml:space="preserve">Claim a partnership or referral agreement · ask for client names or case data · offer anything of value for information · promise traffic or leads · negotiate placement · argue with a removal request. Any of these is a same-day retrain.</t>
  </si>
  <si>
    <t xml:space="preserve">Removal request</t>
  </si>
  <si>
    <t xml:space="preserve">Honor it same day, no second ask. Log it. That is the reputation the whole operation runs on.</t>
  </si>
  <si>
    <t xml:space="preserve">EXAMPLE ROW</t>
  </si>
  <si>
    <t xml:space="preserve">A worked example of the expected format. It lives here, not on the Master List, so it can never be mistaken for data and imported as a real listing.</t>
  </si>
  <si>
    <t xml:space="preserve">accepting</t>
  </si>
  <si>
    <t xml:space="preserve">around the 8th–10th</t>
  </si>
  <si>
    <t xml:space="preserve">2026-10-01</t>
  </si>
  <si>
    <t xml:space="preserve">walk_in</t>
  </si>
  <si>
    <t xml:space="preserve">Mon–Thu, doors at 8:00</t>
  </si>
  <si>
    <t xml:space="preserve">40</t>
  </si>
  <si>
    <t xml:space="preserve">photo ID; SSN cards all household members; current electric bill; 30 days income all adults</t>
  </si>
  <si>
    <t xml:space="preserve">"People come in without the income for everybody in the house"</t>
  </si>
  <si>
    <t xml:space="preserve">new intake system starting November</t>
  </si>
  <si>
    <t xml:space="preserve">Denise, intake</t>
  </si>
  <si>
    <t xml:space="preserve">reached</t>
  </si>
  <si>
    <t xml:space="preserve">2026-09-03</t>
  </si>
  <si>
    <t xml:space="preserve">JM</t>
  </si>
  <si>
    <t xml:space="preserve">PROGRESS</t>
  </si>
  <si>
    <t xml:space="preserve">Calls logged</t>
  </si>
  <si>
    <t xml:space="preserve">Reached</t>
  </si>
  <si>
    <t xml:space="preserve">Currently accepting</t>
  </si>
  <si>
    <t xml:space="preserve">Reach rate</t>
  </si>
  <si>
    <t xml:space="preserve">This is the number the staffing model is guessing at (it assumes 60%). Measure it here.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</si>
</sst>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9"/>
      <color rgb="FF6B78A0"/>
      <name val="Arial"/>
      <family val="0"/>
      <charset val="1"/>
    </font>
    <font>
      <b val="true"/>
      <sz val="9"/>
      <color rgb="FF8A6D1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41F4E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C2B5E"/>
      <name val="Arial"/>
      <family val="0"/>
      <charset val="1"/>
    </font>
    <font>
      <sz val="10"/>
      <color rgb="FF1C2B5E"/>
      <name val="Arial"/>
      <family val="0"/>
      <charset val="1"/>
    </font>
    <font>
      <sz val="9"/>
      <color rgb="FF6B78A0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B78A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C2B5E"/>
        <bgColor rgb="FF333333"/>
      </patternFill>
    </fill>
    <fill>
      <patternFill patternType="solid">
        <fgColor rgb="FFF5F6FA"/>
        <bgColor rgb="FFF1F4FC"/>
      </patternFill>
    </fill>
    <fill>
      <patternFill patternType="solid">
        <fgColor rgb="FFFFF9D9"/>
        <bgColor rgb="FFF5F6FA"/>
      </patternFill>
    </fill>
    <fill>
      <patternFill patternType="solid">
        <fgColor rgb="FFC41F4E"/>
        <bgColor rgb="FF993366"/>
      </patternFill>
    </fill>
    <fill>
      <patternFill patternType="solid">
        <fgColor rgb="FFF1F4FC"/>
        <bgColor rgb="FFF5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FE4F2"/>
      </left>
      <right style="thin">
        <color rgb="FFDFE4F2"/>
      </right>
      <top style="thin">
        <color rgb="FFDFE4F2"/>
      </top>
      <bottom style="thin">
        <color rgb="FFDFE4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C2B5E"/>
          <bgColor rgb="FF000000"/>
        </patternFill>
      </fill>
    </dxf>
    <dxf>
      <fill>
        <patternFill patternType="solid">
          <fgColor rgb="FFF1F4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41F4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1F"/>
      <rgbColor rgb="FF800080"/>
      <rgbColor rgb="FF008080"/>
      <rgbColor rgb="FFC0C0C0"/>
      <rgbColor rgb="FF808080"/>
      <rgbColor rgb="FF9999FF"/>
      <rgbColor rgb="FFC41F4E"/>
      <rgbColor rgb="FFFFF9D9"/>
      <rgbColor rgb="FFF1F4FC"/>
      <rgbColor rgb="FF660066"/>
      <rgbColor rgb="FFFF8080"/>
      <rgbColor rgb="FF0066CC"/>
      <rgbColor rgb="FFDFE4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6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8A0"/>
      <rgbColor rgb="FF969696"/>
      <rgbColor rgb="FF1C2B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80"/>
    <col collapsed="false" customWidth="true" hidden="false" outlineLevel="0" max="10" min="10" style="0" width="18"/>
    <col collapsed="false" customWidth="true" hidden="false" outlineLevel="0" max="11" min="11" style="0" width="21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24"/>
    <col collapsed="false" customWidth="true" hidden="false" outlineLevel="0" max="15" min="15" style="0" width="10"/>
    <col collapsed="false" customWidth="true" hidden="false" outlineLevel="0" max="16" min="16" style="0" width="38"/>
    <col collapsed="false" customWidth="true" hidden="false" outlineLevel="0" max="17" min="17" style="0" width="44"/>
    <col collapsed="false" customWidth="true" hidden="false" outlineLevel="0" max="18" min="18" style="0" width="28"/>
    <col collapsed="false" customWidth="true" hidden="false" outlineLevel="0" max="19" min="19" style="0" width="17"/>
    <col collapsed="false" customWidth="true" hidden="false" outlineLevel="0" max="20" min="20" style="0" width="16"/>
    <col collapsed="false" customWidth="true" hidden="false" outlineLevel="0" max="21" min="21" style="0" width="36"/>
    <col collapsed="false" customWidth="true" hidden="false" outlineLevel="0" max="22" min="22" style="0" width="13"/>
    <col collapsed="false" customWidth="true" hidden="false" outlineLevel="0" max="23" min="23" style="0" width="11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3" t="s">
        <v>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33.75" hidden="false" customHeight="true" outlineLevel="0" collapsed="false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5" t="s">
        <v>12</v>
      </c>
      <c r="K3" s="5" t="s">
        <v>13</v>
      </c>
      <c r="L3" s="5" t="s">
        <v>14</v>
      </c>
      <c r="M3" s="5" t="s">
        <v>15</v>
      </c>
      <c r="N3" s="5" t="s">
        <v>16</v>
      </c>
      <c r="O3" s="5" t="s">
        <v>17</v>
      </c>
      <c r="P3" s="5" t="s">
        <v>18</v>
      </c>
      <c r="Q3" s="5" t="s">
        <v>19</v>
      </c>
      <c r="R3" s="5" t="s">
        <v>20</v>
      </c>
      <c r="S3" s="5" t="s">
        <v>21</v>
      </c>
      <c r="T3" s="5" t="s">
        <v>22</v>
      </c>
      <c r="U3" s="5" t="s">
        <v>23</v>
      </c>
      <c r="V3" s="5" t="s">
        <v>24</v>
      </c>
      <c r="W3" s="5" t="s">
        <v>25</v>
      </c>
    </row>
    <row r="4" customFormat="false" ht="30" hidden="false" customHeight="true" outlineLevel="0" collapsed="false">
      <c r="A4" s="6" t="s">
        <v>3</v>
      </c>
      <c r="B4" s="7" t="n">
        <v>1</v>
      </c>
      <c r="C4" s="8" t="s">
        <v>26</v>
      </c>
      <c r="D4" s="7" t="s">
        <v>27</v>
      </c>
      <c r="E4" s="7" t="s">
        <v>28</v>
      </c>
      <c r="F4" s="7" t="s">
        <v>29</v>
      </c>
      <c r="G4" s="7" t="n">
        <v>3</v>
      </c>
      <c r="H4" s="9" t="n">
        <v>5789933</v>
      </c>
      <c r="I4" s="8" t="s">
        <v>30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</row>
    <row r="5" customFormat="false" ht="30" hidden="false" customHeight="true" outlineLevel="0" collapsed="false">
      <c r="A5" s="11" t="s">
        <v>3</v>
      </c>
      <c r="B5" s="12" t="n">
        <v>2</v>
      </c>
      <c r="C5" s="13" t="s">
        <v>31</v>
      </c>
      <c r="D5" s="12" t="s">
        <v>27</v>
      </c>
      <c r="E5" s="12" t="s">
        <v>32</v>
      </c>
      <c r="F5" s="12" t="s">
        <v>29</v>
      </c>
      <c r="G5" s="12" t="n">
        <v>3</v>
      </c>
      <c r="H5" s="14" t="n">
        <v>5789933</v>
      </c>
      <c r="I5" s="13" t="s">
        <v>30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</row>
    <row r="6" customFormat="false" ht="30" hidden="false" customHeight="true" outlineLevel="0" collapsed="false">
      <c r="A6" s="6" t="s">
        <v>3</v>
      </c>
      <c r="B6" s="7" t="n">
        <v>3</v>
      </c>
      <c r="C6" s="8" t="s">
        <v>33</v>
      </c>
      <c r="D6" s="7" t="s">
        <v>34</v>
      </c>
      <c r="E6" s="7" t="s">
        <v>35</v>
      </c>
      <c r="F6" s="7" t="s">
        <v>36</v>
      </c>
      <c r="G6" s="7" t="n">
        <v>10</v>
      </c>
      <c r="H6" s="9" t="n">
        <v>3254583</v>
      </c>
      <c r="I6" s="8" t="s">
        <v>37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</row>
    <row r="7" customFormat="false" ht="30" hidden="false" customHeight="true" outlineLevel="0" collapsed="false">
      <c r="A7" s="11" t="s">
        <v>3</v>
      </c>
      <c r="B7" s="12" t="n">
        <v>4</v>
      </c>
      <c r="C7" s="13" t="s">
        <v>38</v>
      </c>
      <c r="D7" s="12" t="s">
        <v>39</v>
      </c>
      <c r="E7" s="12" t="s">
        <v>40</v>
      </c>
      <c r="F7" s="12" t="s">
        <v>41</v>
      </c>
      <c r="G7" s="12" t="n">
        <v>19</v>
      </c>
      <c r="H7" s="14" t="n">
        <v>3107798</v>
      </c>
      <c r="I7" s="13" t="s">
        <v>42</v>
      </c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</row>
    <row r="8" customFormat="false" ht="30" hidden="false" customHeight="true" outlineLevel="0" collapsed="false">
      <c r="A8" s="6" t="s">
        <v>3</v>
      </c>
      <c r="B8" s="7" t="n">
        <v>5</v>
      </c>
      <c r="C8" s="8" t="s">
        <v>43</v>
      </c>
      <c r="D8" s="7" t="s">
        <v>44</v>
      </c>
      <c r="E8" s="7" t="s">
        <v>45</v>
      </c>
      <c r="F8" s="7" t="s">
        <v>41</v>
      </c>
      <c r="G8" s="7" t="n">
        <v>12</v>
      </c>
      <c r="H8" s="9" t="n">
        <v>2879722</v>
      </c>
      <c r="I8" s="8" t="s">
        <v>46</v>
      </c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</row>
    <row r="9" customFormat="false" ht="30" hidden="false" customHeight="true" outlineLevel="0" collapsed="false">
      <c r="A9" s="11" t="s">
        <v>3</v>
      </c>
      <c r="B9" s="12" t="n">
        <v>6</v>
      </c>
      <c r="C9" s="13" t="s">
        <v>47</v>
      </c>
      <c r="D9" s="12" t="s">
        <v>48</v>
      </c>
      <c r="E9" s="12" t="s">
        <v>49</v>
      </c>
      <c r="F9" s="12" t="s">
        <v>41</v>
      </c>
      <c r="G9" s="12" t="n">
        <v>1</v>
      </c>
      <c r="H9" s="14" t="n">
        <v>2656028</v>
      </c>
      <c r="I9" s="13" t="s">
        <v>48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customFormat="false" ht="30" hidden="false" customHeight="true" outlineLevel="0" collapsed="false">
      <c r="A10" s="6" t="s">
        <v>3</v>
      </c>
      <c r="B10" s="7" t="n">
        <v>7</v>
      </c>
      <c r="C10" s="8" t="s">
        <v>50</v>
      </c>
      <c r="D10" s="7" t="s">
        <v>48</v>
      </c>
      <c r="E10" s="7" t="s">
        <v>51</v>
      </c>
      <c r="F10" s="7" t="s">
        <v>41</v>
      </c>
      <c r="G10" s="7" t="n">
        <v>1</v>
      </c>
      <c r="H10" s="9" t="n">
        <v>2656028</v>
      </c>
      <c r="I10" s="8" t="s">
        <v>48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customFormat="false" ht="30" hidden="false" customHeight="true" outlineLevel="0" collapsed="false">
      <c r="A11" s="15"/>
      <c r="B11" s="12" t="n">
        <v>8</v>
      </c>
      <c r="C11" s="13" t="s">
        <v>52</v>
      </c>
      <c r="D11" s="12" t="s">
        <v>53</v>
      </c>
      <c r="E11" s="12" t="s">
        <v>54</v>
      </c>
      <c r="F11" s="12" t="s">
        <v>41</v>
      </c>
      <c r="G11" s="12" t="n">
        <v>30</v>
      </c>
      <c r="H11" s="14" t="n">
        <v>2398525</v>
      </c>
      <c r="I11" s="13" t="s">
        <v>55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customFormat="false" ht="30" hidden="false" customHeight="true" outlineLevel="0" collapsed="false">
      <c r="A12" s="6" t="s">
        <v>3</v>
      </c>
      <c r="B12" s="7" t="n">
        <v>9</v>
      </c>
      <c r="C12" s="8" t="s">
        <v>56</v>
      </c>
      <c r="D12" s="7" t="s">
        <v>57</v>
      </c>
      <c r="E12" s="7" t="s">
        <v>58</v>
      </c>
      <c r="F12" s="7" t="s">
        <v>41</v>
      </c>
      <c r="G12" s="7" t="n">
        <v>1</v>
      </c>
      <c r="H12" s="9" t="n">
        <v>2230708</v>
      </c>
      <c r="I12" s="8" t="s">
        <v>59</v>
      </c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customFormat="false" ht="30" hidden="false" customHeight="true" outlineLevel="0" collapsed="false">
      <c r="A13" s="11" t="s">
        <v>3</v>
      </c>
      <c r="B13" s="12" t="n">
        <v>10</v>
      </c>
      <c r="C13" s="13" t="s">
        <v>60</v>
      </c>
      <c r="D13" s="12" t="s">
        <v>44</v>
      </c>
      <c r="E13" s="12" t="s">
        <v>61</v>
      </c>
      <c r="F13" s="12" t="s">
        <v>41</v>
      </c>
      <c r="G13" s="12" t="n">
        <v>1</v>
      </c>
      <c r="H13" s="14" t="n">
        <v>2127737</v>
      </c>
      <c r="I13" s="13" t="s">
        <v>62</v>
      </c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customFormat="false" ht="30" hidden="false" customHeight="true" outlineLevel="0" collapsed="false">
      <c r="A14" s="6" t="s">
        <v>3</v>
      </c>
      <c r="B14" s="7" t="n">
        <v>11</v>
      </c>
      <c r="C14" s="8" t="s">
        <v>63</v>
      </c>
      <c r="D14" s="7" t="s">
        <v>44</v>
      </c>
      <c r="E14" s="7" t="s">
        <v>64</v>
      </c>
      <c r="F14" s="7" t="s">
        <v>41</v>
      </c>
      <c r="G14" s="7" t="n">
        <v>1</v>
      </c>
      <c r="H14" s="9" t="n">
        <v>2127737</v>
      </c>
      <c r="I14" s="8" t="s">
        <v>62</v>
      </c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customFormat="false" ht="30" hidden="false" customHeight="true" outlineLevel="0" collapsed="false">
      <c r="A15" s="11" t="s">
        <v>3</v>
      </c>
      <c r="B15" s="12" t="n">
        <v>12</v>
      </c>
      <c r="C15" s="13" t="s">
        <v>65</v>
      </c>
      <c r="D15" s="12" t="s">
        <v>66</v>
      </c>
      <c r="E15" s="12" t="s">
        <v>67</v>
      </c>
      <c r="F15" s="12" t="s">
        <v>41</v>
      </c>
      <c r="G15" s="12" t="n">
        <v>14</v>
      </c>
      <c r="H15" s="14" t="n">
        <v>1913209</v>
      </c>
      <c r="I15" s="13" t="s">
        <v>68</v>
      </c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customFormat="false" ht="30" hidden="false" customHeight="true" outlineLevel="0" collapsed="false">
      <c r="A16" s="6" t="s">
        <v>3</v>
      </c>
      <c r="B16" s="7" t="n">
        <v>13</v>
      </c>
      <c r="C16" s="8" t="s">
        <v>69</v>
      </c>
      <c r="D16" s="7" t="s">
        <v>70</v>
      </c>
      <c r="E16" s="7" t="s">
        <v>71</v>
      </c>
      <c r="F16" s="7" t="s">
        <v>41</v>
      </c>
      <c r="G16" s="7" t="n">
        <v>10</v>
      </c>
      <c r="H16" s="9" t="n">
        <v>1571177</v>
      </c>
      <c r="I16" s="8" t="s">
        <v>72</v>
      </c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customFormat="false" ht="30" hidden="false" customHeight="true" outlineLevel="0" collapsed="false">
      <c r="A17" s="15"/>
      <c r="B17" s="12" t="n">
        <v>14</v>
      </c>
      <c r="C17" s="13" t="s">
        <v>73</v>
      </c>
      <c r="D17" s="12" t="s">
        <v>74</v>
      </c>
      <c r="E17" s="12" t="s">
        <v>75</v>
      </c>
      <c r="F17" s="12" t="s">
        <v>41</v>
      </c>
      <c r="G17" s="12" t="n">
        <v>12</v>
      </c>
      <c r="H17" s="14" t="n">
        <v>1458960</v>
      </c>
      <c r="I17" s="13" t="s">
        <v>76</v>
      </c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customFormat="false" ht="30" hidden="false" customHeight="true" outlineLevel="0" collapsed="false">
      <c r="A18" s="16"/>
      <c r="B18" s="7" t="n">
        <v>15</v>
      </c>
      <c r="C18" s="8" t="s">
        <v>77</v>
      </c>
      <c r="D18" s="7" t="s">
        <v>78</v>
      </c>
      <c r="E18" s="7" t="s">
        <v>79</v>
      </c>
      <c r="F18" s="7" t="s">
        <v>41</v>
      </c>
      <c r="G18" s="7" t="n">
        <v>13</v>
      </c>
      <c r="H18" s="9" t="n">
        <v>1419307</v>
      </c>
      <c r="I18" s="8" t="s">
        <v>80</v>
      </c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customFormat="false" ht="30" hidden="false" customHeight="true" outlineLevel="0" collapsed="false">
      <c r="A19" s="11" t="s">
        <v>3</v>
      </c>
      <c r="B19" s="12" t="n">
        <v>16</v>
      </c>
      <c r="C19" s="13" t="s">
        <v>81</v>
      </c>
      <c r="D19" s="12" t="s">
        <v>82</v>
      </c>
      <c r="E19" s="12" t="s">
        <v>83</v>
      </c>
      <c r="F19" s="12" t="s">
        <v>41</v>
      </c>
      <c r="G19" s="12" t="n">
        <v>1</v>
      </c>
      <c r="H19" s="14" t="n">
        <v>1363767</v>
      </c>
      <c r="I19" s="13" t="s">
        <v>84</v>
      </c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customFormat="false" ht="30" hidden="false" customHeight="true" outlineLevel="0" collapsed="false">
      <c r="A20" s="6" t="s">
        <v>3</v>
      </c>
      <c r="B20" s="7" t="n">
        <v>17</v>
      </c>
      <c r="C20" s="8" t="s">
        <v>85</v>
      </c>
      <c r="D20" s="7" t="s">
        <v>82</v>
      </c>
      <c r="E20" s="7" t="s">
        <v>86</v>
      </c>
      <c r="F20" s="7" t="s">
        <v>41</v>
      </c>
      <c r="G20" s="7" t="n">
        <v>1</v>
      </c>
      <c r="H20" s="9" t="n">
        <v>1363767</v>
      </c>
      <c r="I20" s="8" t="s">
        <v>84</v>
      </c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customFormat="false" ht="30" hidden="false" customHeight="true" outlineLevel="0" collapsed="false">
      <c r="A21" s="15"/>
      <c r="B21" s="12" t="n">
        <v>18</v>
      </c>
      <c r="C21" s="13" t="s">
        <v>87</v>
      </c>
      <c r="D21" s="12" t="s">
        <v>88</v>
      </c>
      <c r="E21" s="12" t="s">
        <v>89</v>
      </c>
      <c r="F21" s="12" t="s">
        <v>41</v>
      </c>
      <c r="G21" s="12" t="n">
        <v>30</v>
      </c>
      <c r="H21" s="14" t="n">
        <v>970756</v>
      </c>
      <c r="I21" s="13" t="s">
        <v>90</v>
      </c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customFormat="false" ht="30" hidden="false" customHeight="true" outlineLevel="0" collapsed="false">
      <c r="A22" s="6" t="s">
        <v>3</v>
      </c>
      <c r="B22" s="7" t="n">
        <v>19</v>
      </c>
      <c r="C22" s="8" t="s">
        <v>91</v>
      </c>
      <c r="D22" s="7" t="s">
        <v>92</v>
      </c>
      <c r="E22" s="7" t="s">
        <v>93</v>
      </c>
      <c r="F22" s="7" t="s">
        <v>41</v>
      </c>
      <c r="G22" s="7" t="n">
        <v>1</v>
      </c>
      <c r="H22" s="9" t="n">
        <v>914820</v>
      </c>
      <c r="I22" s="8" t="s">
        <v>94</v>
      </c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customFormat="false" ht="30" hidden="false" customHeight="true" outlineLevel="0" collapsed="false">
      <c r="A23" s="15"/>
      <c r="B23" s="12" t="n">
        <v>20</v>
      </c>
      <c r="C23" s="13" t="s">
        <v>95</v>
      </c>
      <c r="D23" s="12" t="s">
        <v>96</v>
      </c>
      <c r="E23" s="12" t="s">
        <v>97</v>
      </c>
      <c r="F23" s="12" t="s">
        <v>41</v>
      </c>
      <c r="G23" s="12" t="n">
        <v>9</v>
      </c>
      <c r="H23" s="14" t="n">
        <v>888575</v>
      </c>
      <c r="I23" s="13" t="s">
        <v>98</v>
      </c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customFormat="false" ht="30" hidden="false" customHeight="true" outlineLevel="0" collapsed="false">
      <c r="A24" s="6" t="s">
        <v>3</v>
      </c>
      <c r="B24" s="7" t="n">
        <v>21</v>
      </c>
      <c r="C24" s="8" t="s">
        <v>99</v>
      </c>
      <c r="D24" s="7" t="s">
        <v>100</v>
      </c>
      <c r="E24" s="7" t="s">
        <v>101</v>
      </c>
      <c r="F24" s="7" t="s">
        <v>41</v>
      </c>
      <c r="G24" s="7" t="n">
        <v>1</v>
      </c>
      <c r="H24" s="9" t="n">
        <v>875784</v>
      </c>
      <c r="I24" s="8" t="s">
        <v>100</v>
      </c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customFormat="false" ht="30" hidden="false" customHeight="true" outlineLevel="0" collapsed="false">
      <c r="A25" s="15"/>
      <c r="B25" s="12" t="n">
        <v>22</v>
      </c>
      <c r="C25" s="13" t="s">
        <v>102</v>
      </c>
      <c r="D25" s="12" t="s">
        <v>103</v>
      </c>
      <c r="E25" s="12" t="s">
        <v>104</v>
      </c>
      <c r="F25" s="12" t="s">
        <v>41</v>
      </c>
      <c r="G25" s="12" t="n">
        <v>28</v>
      </c>
      <c r="H25" s="14" t="n">
        <v>861815</v>
      </c>
      <c r="I25" s="13" t="s">
        <v>105</v>
      </c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customFormat="false" ht="30" hidden="false" customHeight="true" outlineLevel="0" collapsed="false">
      <c r="A26" s="16"/>
      <c r="B26" s="7" t="n">
        <v>23</v>
      </c>
      <c r="C26" s="8" t="s">
        <v>106</v>
      </c>
      <c r="D26" s="7" t="s">
        <v>107</v>
      </c>
      <c r="E26" s="7" t="s">
        <v>108</v>
      </c>
      <c r="F26" s="7" t="s">
        <v>41</v>
      </c>
      <c r="G26" s="7" t="n">
        <v>2</v>
      </c>
      <c r="H26" s="9" t="n">
        <v>783202</v>
      </c>
      <c r="I26" s="8" t="s">
        <v>109</v>
      </c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customFormat="false" ht="30" hidden="false" customHeight="true" outlineLevel="0" collapsed="false">
      <c r="A27" s="15"/>
      <c r="B27" s="12" t="n">
        <v>24</v>
      </c>
      <c r="C27" s="13" t="s">
        <v>110</v>
      </c>
      <c r="D27" s="12" t="s">
        <v>111</v>
      </c>
      <c r="E27" s="12" t="s">
        <v>112</v>
      </c>
      <c r="F27" s="12" t="s">
        <v>41</v>
      </c>
      <c r="G27" s="12" t="n">
        <v>15</v>
      </c>
      <c r="H27" s="14" t="n">
        <v>763035</v>
      </c>
      <c r="I27" s="13" t="s">
        <v>113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customFormat="false" ht="30" hidden="false" customHeight="true" outlineLevel="0" collapsed="false">
      <c r="A28" s="16"/>
      <c r="B28" s="7" t="n">
        <v>25</v>
      </c>
      <c r="C28" s="8" t="s">
        <v>114</v>
      </c>
      <c r="D28" s="7" t="s">
        <v>115</v>
      </c>
      <c r="E28" s="7" t="s">
        <v>116</v>
      </c>
      <c r="F28" s="7" t="s">
        <v>41</v>
      </c>
      <c r="G28" s="7" t="n">
        <v>7</v>
      </c>
      <c r="H28" s="9" t="n">
        <v>625480</v>
      </c>
      <c r="I28" s="8" t="s">
        <v>117</v>
      </c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customFormat="false" ht="30" hidden="false" customHeight="true" outlineLevel="0" collapsed="false">
      <c r="A29" s="15"/>
      <c r="B29" s="12" t="n">
        <v>26</v>
      </c>
      <c r="C29" s="13" t="s">
        <v>118</v>
      </c>
      <c r="D29" s="12" t="s">
        <v>119</v>
      </c>
      <c r="E29" s="12" t="s">
        <v>120</v>
      </c>
      <c r="F29" s="12" t="s">
        <v>41</v>
      </c>
      <c r="G29" s="12" t="n">
        <v>18</v>
      </c>
      <c r="H29" s="14" t="n">
        <v>521481</v>
      </c>
      <c r="I29" s="13" t="s">
        <v>121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customFormat="false" ht="30" hidden="false" customHeight="true" outlineLevel="0" collapsed="false">
      <c r="A30" s="16"/>
      <c r="B30" s="7" t="n">
        <v>27</v>
      </c>
      <c r="C30" s="8" t="s">
        <v>122</v>
      </c>
      <c r="D30" s="7" t="s">
        <v>123</v>
      </c>
      <c r="E30" s="7" t="s">
        <v>124</v>
      </c>
      <c r="F30" s="7" t="s">
        <v>41</v>
      </c>
      <c r="G30" s="7" t="n">
        <v>15</v>
      </c>
      <c r="H30" s="9" t="n">
        <v>445960</v>
      </c>
      <c r="I30" s="8" t="s">
        <v>125</v>
      </c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customFormat="false" ht="30" hidden="false" customHeight="true" outlineLevel="0" collapsed="false">
      <c r="A31" s="15"/>
      <c r="B31" s="12" t="n">
        <v>28</v>
      </c>
      <c r="C31" s="13" t="s">
        <v>126</v>
      </c>
      <c r="D31" s="12" t="s">
        <v>127</v>
      </c>
      <c r="E31" s="12" t="s">
        <v>128</v>
      </c>
      <c r="F31" s="12" t="s">
        <v>41</v>
      </c>
      <c r="G31" s="12" t="n">
        <v>26</v>
      </c>
      <c r="H31" s="14" t="n">
        <v>438048</v>
      </c>
      <c r="I31" s="13" t="s">
        <v>129</v>
      </c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customFormat="false" ht="30" hidden="false" customHeight="true" outlineLevel="0" collapsed="false">
      <c r="A32" s="16"/>
      <c r="B32" s="7" t="n">
        <v>29</v>
      </c>
      <c r="C32" s="8" t="s">
        <v>130</v>
      </c>
      <c r="D32" s="7" t="s">
        <v>131</v>
      </c>
      <c r="E32" s="7" t="s">
        <v>132</v>
      </c>
      <c r="F32" s="7" t="s">
        <v>133</v>
      </c>
      <c r="G32" s="7" t="n">
        <v>3</v>
      </c>
      <c r="H32" s="9" t="n">
        <v>398733</v>
      </c>
      <c r="I32" s="8" t="s">
        <v>134</v>
      </c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customFormat="false" ht="30" hidden="false" customHeight="true" outlineLevel="0" collapsed="false">
      <c r="A33" s="15"/>
      <c r="B33" s="12" t="n">
        <v>30</v>
      </c>
      <c r="C33" s="13" t="s">
        <v>135</v>
      </c>
      <c r="D33" s="12" t="s">
        <v>136</v>
      </c>
      <c r="E33" s="12" t="s">
        <v>137</v>
      </c>
      <c r="F33" s="12" t="s">
        <v>41</v>
      </c>
      <c r="G33" s="12" t="n">
        <v>3</v>
      </c>
      <c r="H33" s="14" t="n">
        <v>357817</v>
      </c>
      <c r="I33" s="13" t="s">
        <v>138</v>
      </c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customFormat="false" ht="30" hidden="false" customHeight="true" outlineLevel="0" collapsed="false">
      <c r="A34" s="16"/>
      <c r="B34" s="7" t="n">
        <v>31</v>
      </c>
      <c r="C34" s="8" t="s">
        <v>139</v>
      </c>
      <c r="D34" s="7" t="s">
        <v>140</v>
      </c>
      <c r="E34" s="7" t="s">
        <v>141</v>
      </c>
      <c r="F34" s="7" t="s">
        <v>41</v>
      </c>
      <c r="G34" s="7" t="n">
        <v>1</v>
      </c>
      <c r="H34" s="9" t="n">
        <v>353125</v>
      </c>
      <c r="I34" s="8" t="s">
        <v>142</v>
      </c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customFormat="false" ht="30" hidden="false" customHeight="true" outlineLevel="0" collapsed="false">
      <c r="A35" s="15"/>
      <c r="B35" s="12" t="n">
        <v>32</v>
      </c>
      <c r="C35" s="13" t="s">
        <v>143</v>
      </c>
      <c r="D35" s="12" t="s">
        <v>144</v>
      </c>
      <c r="E35" s="12" t="s">
        <v>145</v>
      </c>
      <c r="F35" s="12" t="s">
        <v>146</v>
      </c>
      <c r="G35" s="12" t="n">
        <v>1</v>
      </c>
      <c r="H35" s="14" t="n">
        <v>327394</v>
      </c>
      <c r="I35" s="13" t="s">
        <v>144</v>
      </c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customFormat="false" ht="30" hidden="false" customHeight="true" outlineLevel="0" collapsed="false">
      <c r="A36" s="16"/>
      <c r="B36" s="7" t="n">
        <v>33</v>
      </c>
      <c r="C36" s="8" t="s">
        <v>147</v>
      </c>
      <c r="D36" s="7" t="s">
        <v>144</v>
      </c>
      <c r="E36" s="7" t="s">
        <v>148</v>
      </c>
      <c r="F36" s="7" t="s">
        <v>36</v>
      </c>
      <c r="G36" s="7" t="n">
        <v>1</v>
      </c>
      <c r="H36" s="9" t="n">
        <v>327394</v>
      </c>
      <c r="I36" s="8" t="s">
        <v>144</v>
      </c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customFormat="false" ht="30" hidden="false" customHeight="true" outlineLevel="0" collapsed="false">
      <c r="A37" s="15"/>
      <c r="B37" s="12" t="n">
        <v>34</v>
      </c>
      <c r="C37" s="13" t="s">
        <v>149</v>
      </c>
      <c r="D37" s="12" t="s">
        <v>150</v>
      </c>
      <c r="E37" s="12" t="s">
        <v>151</v>
      </c>
      <c r="F37" s="12" t="s">
        <v>41</v>
      </c>
      <c r="G37" s="12" t="n">
        <v>12</v>
      </c>
      <c r="H37" s="14" t="n">
        <v>318807</v>
      </c>
      <c r="I37" s="13" t="s">
        <v>152</v>
      </c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customFormat="false" ht="30" hidden="false" customHeight="true" outlineLevel="0" collapsed="false">
      <c r="A38" s="16"/>
      <c r="B38" s="7" t="n">
        <v>35</v>
      </c>
      <c r="C38" s="8" t="s">
        <v>153</v>
      </c>
      <c r="D38" s="7" t="s">
        <v>154</v>
      </c>
      <c r="E38" s="7" t="s">
        <v>155</v>
      </c>
      <c r="F38" s="7" t="s">
        <v>41</v>
      </c>
      <c r="G38" s="7" t="n">
        <v>1</v>
      </c>
      <c r="H38" s="9" t="n">
        <v>272823</v>
      </c>
      <c r="I38" s="8" t="s">
        <v>156</v>
      </c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customFormat="false" ht="30" hidden="false" customHeight="true" outlineLevel="0" collapsed="false">
      <c r="A39" s="15"/>
      <c r="B39" s="12" t="n">
        <v>36</v>
      </c>
      <c r="C39" s="13" t="s">
        <v>157</v>
      </c>
      <c r="D39" s="12" t="s">
        <v>158</v>
      </c>
      <c r="E39" s="12" t="s">
        <v>159</v>
      </c>
      <c r="F39" s="12" t="s">
        <v>41</v>
      </c>
      <c r="G39" s="12" t="n">
        <v>9</v>
      </c>
      <c r="H39" s="14" t="n">
        <v>245834</v>
      </c>
      <c r="I39" s="13" t="s">
        <v>160</v>
      </c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customFormat="false" ht="30" hidden="false" customHeight="true" outlineLevel="0" collapsed="false">
      <c r="A40" s="16"/>
      <c r="B40" s="7" t="n">
        <v>37</v>
      </c>
      <c r="C40" s="8" t="s">
        <v>161</v>
      </c>
      <c r="D40" s="7" t="s">
        <v>162</v>
      </c>
      <c r="E40" s="7" t="s">
        <v>163</v>
      </c>
      <c r="F40" s="7" t="s">
        <v>41</v>
      </c>
      <c r="G40" s="7" t="n">
        <v>14</v>
      </c>
      <c r="H40" s="9" t="n">
        <v>172748</v>
      </c>
      <c r="I40" s="8" t="s">
        <v>164</v>
      </c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customFormat="false" ht="30" hidden="false" customHeight="true" outlineLevel="0" collapsed="false">
      <c r="A41" s="15"/>
      <c r="B41" s="12" t="n">
        <v>38</v>
      </c>
      <c r="C41" s="13" t="s">
        <v>165</v>
      </c>
      <c r="D41" s="12" t="s">
        <v>166</v>
      </c>
      <c r="E41" s="12" t="s">
        <v>167</v>
      </c>
      <c r="F41" s="12" t="s">
        <v>41</v>
      </c>
      <c r="G41" s="12" t="n">
        <v>7</v>
      </c>
      <c r="H41" s="14" t="n">
        <v>111084</v>
      </c>
      <c r="I41" s="13" t="s">
        <v>168</v>
      </c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customFormat="false" ht="30" hidden="false" customHeight="true" outlineLevel="0" collapsed="false">
      <c r="A42" s="16"/>
      <c r="B42" s="7" t="n">
        <v>39</v>
      </c>
      <c r="C42" s="8" t="s">
        <v>169</v>
      </c>
      <c r="D42" s="7" t="s">
        <v>154</v>
      </c>
      <c r="E42" s="7" t="s">
        <v>170</v>
      </c>
      <c r="F42" s="7" t="s">
        <v>36</v>
      </c>
      <c r="G42" s="7" t="n">
        <v>3</v>
      </c>
      <c r="H42" s="9" t="n">
        <v>84989</v>
      </c>
      <c r="I42" s="8" t="s">
        <v>171</v>
      </c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customFormat="false" ht="30" hidden="false" customHeight="true" outlineLevel="0" collapsed="false">
      <c r="A43" s="15"/>
      <c r="B43" s="12" t="n">
        <v>40</v>
      </c>
      <c r="C43" s="13" t="s">
        <v>172</v>
      </c>
      <c r="D43" s="12" t="s">
        <v>173</v>
      </c>
      <c r="E43" s="12" t="s">
        <v>174</v>
      </c>
      <c r="F43" s="12" t="s">
        <v>36</v>
      </c>
      <c r="G43" s="12" t="n">
        <v>2</v>
      </c>
      <c r="H43" s="14" t="n">
        <v>78426</v>
      </c>
      <c r="I43" s="13" t="s">
        <v>175</v>
      </c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customFormat="false" ht="30" hidden="false" customHeight="true" outlineLevel="0" collapsed="false">
      <c r="A44" s="16"/>
      <c r="B44" s="7" t="n">
        <v>41</v>
      </c>
      <c r="C44" s="8" t="s">
        <v>176</v>
      </c>
      <c r="D44" s="7" t="s">
        <v>177</v>
      </c>
      <c r="E44" s="7" t="s">
        <v>178</v>
      </c>
      <c r="F44" s="7" t="s">
        <v>36</v>
      </c>
      <c r="G44" s="7" t="n">
        <v>1</v>
      </c>
      <c r="H44" s="9" t="n">
        <v>58829</v>
      </c>
      <c r="I44" s="8" t="s">
        <v>179</v>
      </c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customFormat="false" ht="30" hidden="false" customHeight="true" outlineLevel="0" collapsed="false">
      <c r="A45" s="15"/>
      <c r="B45" s="12" t="n">
        <v>42</v>
      </c>
      <c r="C45" s="13" t="s">
        <v>180</v>
      </c>
      <c r="D45" s="12" t="s">
        <v>181</v>
      </c>
      <c r="E45" s="12" t="s">
        <v>182</v>
      </c>
      <c r="F45" s="12" t="s">
        <v>41</v>
      </c>
      <c r="G45" s="12" t="n">
        <v>6</v>
      </c>
      <c r="H45" s="14" t="n">
        <v>33010</v>
      </c>
      <c r="I45" s="13" t="s">
        <v>183</v>
      </c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customFormat="false" ht="30" hidden="false" customHeight="true" outlineLevel="0" collapsed="false">
      <c r="A46" s="16"/>
      <c r="B46" s="7" t="n">
        <v>43</v>
      </c>
      <c r="C46" s="8" t="s">
        <v>184</v>
      </c>
      <c r="D46" s="7" t="s">
        <v>185</v>
      </c>
      <c r="E46" s="7" t="s">
        <v>186</v>
      </c>
      <c r="F46" s="7" t="s">
        <v>36</v>
      </c>
      <c r="G46" s="7" t="n">
        <v>2</v>
      </c>
      <c r="H46" s="9" t="n">
        <v>30772</v>
      </c>
      <c r="I46" s="8" t="s">
        <v>187</v>
      </c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customFormat="false" ht="30" hidden="false" customHeight="true" outlineLevel="0" collapsed="false">
      <c r="A47" s="15"/>
      <c r="B47" s="12" t="n">
        <v>44</v>
      </c>
      <c r="C47" s="13" t="s">
        <v>188</v>
      </c>
      <c r="D47" s="12" t="s">
        <v>189</v>
      </c>
      <c r="E47" s="12" t="s">
        <v>190</v>
      </c>
      <c r="F47" s="12" t="s">
        <v>36</v>
      </c>
      <c r="G47" s="12" t="n">
        <v>3</v>
      </c>
      <c r="H47" s="14" t="n">
        <v>20024</v>
      </c>
      <c r="I47" s="13" t="s">
        <v>191</v>
      </c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</sheetData>
  <autoFilter ref="A3:W47"/>
  <mergeCells count="3">
    <mergeCell ref="A1:W1"/>
    <mergeCell ref="A2:I2"/>
    <mergeCell ref="J2:W2"/>
  </mergeCells>
  <dataValidations count="3">
    <dataValidation allowBlank="true" errorStyle="stop" operator="between" prompt="Never a yes/no question. Ask: &quot;How far into the month is the funding usually lasting right now?&quot;" showDropDown="false" showErrorMessage="false" showInputMessage="true" sqref="J4:J47" type="list">
      <formula1>"accepting,waitlist,funds_exhausted,seasonal_closed,appointment_only,unknown"</formula1>
      <formula2>0</formula2>
    </dataValidation>
    <dataValidation allowBlank="true" errorStyle="stop" operator="between" prompt="Read the prefilled fact back as a statement." showDropDown="false" showErrorMessage="false" showInputMessage="true" sqref="M4:M47" type="list">
      <formula1>"walk_in,phone,online,appointment"</formula1>
      <formula2>0</formula2>
    </dataValidation>
    <dataValidation allowBlank="true" errorStyle="stop" operator="between" prompt="Log every attempt, including the ones that fail." showDropDown="false" showErrorMessage="false" showInputMessage="true" sqref="T4:T47" type="list">
      <formula1>"reached,voicemail,no_answer,busy,wrong_number,callback_booked,refused,gatekeeper,disconnected"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4"/>
  </cols>
  <sheetData>
    <row r="1" customFormat="false" ht="24" hidden="false" customHeight="true" outlineLevel="0" collapsed="false">
      <c r="A1" s="17" t="s">
        <v>192</v>
      </c>
      <c r="B1" s="17"/>
    </row>
    <row r="3" customFormat="false" ht="23.85" hidden="false" customHeight="false" outlineLevel="0" collapsed="false">
      <c r="A3" s="18" t="s">
        <v>193</v>
      </c>
      <c r="B3" s="19" t="s">
        <v>194</v>
      </c>
    </row>
    <row r="4" customFormat="false" ht="23.85" hidden="false" customHeight="false" outlineLevel="0" collapsed="false">
      <c r="A4" s="18" t="s">
        <v>195</v>
      </c>
      <c r="B4" s="19" t="s">
        <v>196</v>
      </c>
    </row>
    <row r="5" customFormat="false" ht="23.85" hidden="false" customHeight="false" outlineLevel="0" collapsed="false">
      <c r="A5" s="18" t="s">
        <v>197</v>
      </c>
      <c r="B5" s="19" t="s">
        <v>198</v>
      </c>
    </row>
    <row r="6" customFormat="false" ht="35.05" hidden="false" customHeight="false" outlineLevel="0" collapsed="false">
      <c r="A6" s="18" t="s">
        <v>199</v>
      </c>
      <c r="B6" s="19" t="s">
        <v>200</v>
      </c>
    </row>
    <row r="7" customFormat="false" ht="23.85" hidden="false" customHeight="false" outlineLevel="0" collapsed="false">
      <c r="A7" s="18" t="s">
        <v>201</v>
      </c>
      <c r="B7" s="19" t="s">
        <v>202</v>
      </c>
    </row>
    <row r="8" customFormat="false" ht="23.85" hidden="false" customHeight="false" outlineLevel="0" collapsed="false">
      <c r="A8" s="18" t="s">
        <v>203</v>
      </c>
      <c r="B8" s="19" t="s">
        <v>204</v>
      </c>
    </row>
    <row r="10" customFormat="false" ht="15" hidden="false" customHeight="false" outlineLevel="0" collapsed="false">
      <c r="A10" s="20" t="s">
        <v>205</v>
      </c>
      <c r="B10" s="21" t="s">
        <v>206</v>
      </c>
    </row>
    <row r="11" customFormat="false" ht="35.05" hidden="false" customHeight="false" outlineLevel="0" collapsed="false">
      <c r="A11" s="18" t="s">
        <v>207</v>
      </c>
      <c r="B11" s="19" t="s">
        <v>208</v>
      </c>
    </row>
    <row r="12" customFormat="false" ht="23.85" hidden="false" customHeight="false" outlineLevel="0" collapsed="false">
      <c r="A12" s="18" t="s">
        <v>209</v>
      </c>
      <c r="B12" s="19" t="s">
        <v>210</v>
      </c>
    </row>
    <row r="13" customFormat="false" ht="23.85" hidden="false" customHeight="false" outlineLevel="0" collapsed="false">
      <c r="A13" s="18" t="s">
        <v>211</v>
      </c>
      <c r="B13" s="19" t="s">
        <v>212</v>
      </c>
    </row>
    <row r="14" customFormat="false" ht="23.85" hidden="false" customHeight="false" outlineLevel="0" collapsed="false">
      <c r="A14" s="18" t="s">
        <v>213</v>
      </c>
      <c r="B14" s="19" t="s">
        <v>214</v>
      </c>
    </row>
    <row r="15" customFormat="false" ht="23.85" hidden="false" customHeight="false" outlineLevel="0" collapsed="false">
      <c r="A15" s="18" t="s">
        <v>215</v>
      </c>
      <c r="B15" s="19" t="s">
        <v>216</v>
      </c>
    </row>
    <row r="17" customFormat="false" ht="15" hidden="false" customHeight="false" outlineLevel="0" collapsed="false">
      <c r="A17" s="20" t="s">
        <v>217</v>
      </c>
      <c r="B17" s="21" t="s">
        <v>206</v>
      </c>
    </row>
    <row r="18" customFormat="false" ht="15" hidden="false" customHeight="false" outlineLevel="0" collapsed="false">
      <c r="A18" s="18" t="s">
        <v>218</v>
      </c>
      <c r="B18" s="19" t="s">
        <v>219</v>
      </c>
    </row>
    <row r="19" customFormat="false" ht="23.85" hidden="false" customHeight="false" outlineLevel="0" collapsed="false">
      <c r="A19" s="18" t="s">
        <v>220</v>
      </c>
      <c r="B19" s="19" t="s">
        <v>221</v>
      </c>
    </row>
    <row r="20" customFormat="false" ht="15" hidden="false" customHeight="false" outlineLevel="0" collapsed="false">
      <c r="A20" s="18" t="s">
        <v>222</v>
      </c>
      <c r="B20" s="19" t="s">
        <v>223</v>
      </c>
    </row>
    <row r="22" customFormat="false" ht="15" hidden="false" customHeight="false" outlineLevel="0" collapsed="false">
      <c r="A22" s="20" t="s">
        <v>224</v>
      </c>
      <c r="B22" s="21" t="s">
        <v>206</v>
      </c>
    </row>
    <row r="23" customFormat="false" ht="23.85" hidden="false" customHeight="false" outlineLevel="0" collapsed="false">
      <c r="A23" s="18"/>
      <c r="B23" s="19" t="s">
        <v>225</v>
      </c>
    </row>
    <row r="24" customFormat="false" ht="15" hidden="false" customHeight="false" outlineLevel="0" collapsed="false">
      <c r="A24" s="22" t="s">
        <v>12</v>
      </c>
      <c r="B24" s="23" t="s">
        <v>226</v>
      </c>
    </row>
    <row r="25" customFormat="false" ht="15" hidden="false" customHeight="false" outlineLevel="0" collapsed="false">
      <c r="A25" s="22" t="s">
        <v>13</v>
      </c>
      <c r="B25" s="23" t="s">
        <v>227</v>
      </c>
    </row>
    <row r="26" customFormat="false" ht="15" hidden="false" customHeight="false" outlineLevel="0" collapsed="false">
      <c r="A26" s="22" t="s">
        <v>14</v>
      </c>
      <c r="B26" s="23" t="s">
        <v>228</v>
      </c>
    </row>
    <row r="27" customFormat="false" ht="15" hidden="false" customHeight="false" outlineLevel="0" collapsed="false">
      <c r="A27" s="22" t="s">
        <v>15</v>
      </c>
      <c r="B27" s="23" t="s">
        <v>229</v>
      </c>
    </row>
    <row r="28" customFormat="false" ht="15" hidden="false" customHeight="false" outlineLevel="0" collapsed="false">
      <c r="A28" s="22" t="s">
        <v>16</v>
      </c>
      <c r="B28" s="23" t="s">
        <v>230</v>
      </c>
    </row>
    <row r="29" customFormat="false" ht="15" hidden="false" customHeight="false" outlineLevel="0" collapsed="false">
      <c r="A29" s="22" t="s">
        <v>17</v>
      </c>
      <c r="B29" s="23" t="s">
        <v>231</v>
      </c>
    </row>
    <row r="30" customFormat="false" ht="15" hidden="false" customHeight="false" outlineLevel="0" collapsed="false">
      <c r="A30" s="22" t="s">
        <v>18</v>
      </c>
      <c r="B30" s="23" t="s">
        <v>232</v>
      </c>
    </row>
    <row r="31" customFormat="false" ht="15" hidden="false" customHeight="false" outlineLevel="0" collapsed="false">
      <c r="A31" s="22" t="s">
        <v>19</v>
      </c>
      <c r="B31" s="23" t="s">
        <v>233</v>
      </c>
    </row>
    <row r="32" customFormat="false" ht="15" hidden="false" customHeight="false" outlineLevel="0" collapsed="false">
      <c r="A32" s="22" t="s">
        <v>20</v>
      </c>
      <c r="B32" s="23" t="s">
        <v>234</v>
      </c>
    </row>
    <row r="33" customFormat="false" ht="15" hidden="false" customHeight="false" outlineLevel="0" collapsed="false">
      <c r="A33" s="22" t="s">
        <v>21</v>
      </c>
      <c r="B33" s="23" t="s">
        <v>235</v>
      </c>
    </row>
    <row r="34" customFormat="false" ht="15" hidden="false" customHeight="false" outlineLevel="0" collapsed="false">
      <c r="A34" s="22" t="s">
        <v>22</v>
      </c>
      <c r="B34" s="23" t="s">
        <v>236</v>
      </c>
    </row>
    <row r="35" customFormat="false" ht="15" hidden="false" customHeight="false" outlineLevel="0" collapsed="false">
      <c r="A35" s="22" t="s">
        <v>24</v>
      </c>
      <c r="B35" s="23" t="s">
        <v>237</v>
      </c>
    </row>
    <row r="36" customFormat="false" ht="15" hidden="false" customHeight="false" outlineLevel="0" collapsed="false">
      <c r="A36" s="22" t="s">
        <v>25</v>
      </c>
      <c r="B36" s="23" t="s">
        <v>238</v>
      </c>
    </row>
    <row r="38" customFormat="false" ht="15" hidden="false" customHeight="false" outlineLevel="0" collapsed="false">
      <c r="A38" s="20" t="s">
        <v>239</v>
      </c>
      <c r="B38" s="21" t="s">
        <v>206</v>
      </c>
    </row>
    <row r="39" customFormat="false" ht="15" hidden="false" customHeight="false" outlineLevel="0" collapsed="false">
      <c r="A39" s="18" t="s">
        <v>240</v>
      </c>
      <c r="B39" s="24" t="str">
        <f aca="false">COUNTA('Master List'!T4:T47)&amp;" of 44"</f>
        <v>0 of 44</v>
      </c>
    </row>
    <row r="40" customFormat="false" ht="15" hidden="false" customHeight="false" outlineLevel="0" collapsed="false">
      <c r="A40" s="18" t="s">
        <v>241</v>
      </c>
      <c r="B40" s="24" t="n">
        <f aca="false">COUNTIF('Master List'!T4:T47,"reached")</f>
        <v>0</v>
      </c>
    </row>
    <row r="41" customFormat="false" ht="15" hidden="false" customHeight="false" outlineLevel="0" collapsed="false">
      <c r="A41" s="18" t="s">
        <v>242</v>
      </c>
      <c r="B41" s="24" t="n">
        <f aca="false">COUNTIF('Master List'!J4:J47,"accepting")</f>
        <v>0</v>
      </c>
    </row>
    <row r="42" customFormat="false" ht="15" hidden="false" customHeight="false" outlineLevel="0" collapsed="false">
      <c r="A42" s="18" t="s">
        <v>243</v>
      </c>
      <c r="B42" s="25" t="str">
        <f aca="false">IFERROR(COUNTIF('Master List'!T4:T47,"reached")/COUNTA('Master List'!T4:T47),"—")</f>
        <v>—</v>
      </c>
    </row>
    <row r="43" customFormat="false" ht="15" hidden="false" customHeight="false" outlineLevel="0" collapsed="false">
      <c r="B43" s="26" t="s">
        <v>244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2026-09-02T16:00:20Z</dcterms:created>
  <dc:creator>openpyxl</dc:creator>
  <dc:description/>
  <dc:language>en-US</dc:language>
  <cp:lastModifiedBy/>
  <dcterms:modified xsi:type="dcterms:W3CDTF">2026-09-02T16:00:20Z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