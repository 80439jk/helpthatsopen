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List" sheetId="1" state="visible" r:id="rId3"/>
    <sheet name="How to use" sheetId="2" state="visible" r:id="rId4"/>
  </sheets>
  <definedNames>
    <definedName function="false" hidden="true" localSheetId="0" name="_xlnm._FilterDatabase" vbProcedure="false">'Master List'!$A$3:$AC$102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<sst xmlns="http://schemas.openxmlformats.org/spreadsheetml/2006/main" count="873" uniqueCount="485">
  <si>
    <t xml:space="preserve">CornerHelp — master provider call sheet · 99 organizations · all 254 Texas counties</t>
  </si>
  <si>
    <t xml:space="preserve">DO NOT EDIT — call context</t>
  </si>
  <si>
    <t xml:space="preserve">FILL THESE IN — in the order the script asks for them. Blank beats guessed.</t>
  </si>
  <si>
    <t xml:space="preserve">WEEK 1</t>
  </si>
  <si>
    <t xml:space="preserve">#</t>
  </si>
  <si>
    <t xml:space="preserve">Organization</t>
  </si>
  <si>
    <t xml:space="preserve">City</t>
  </si>
  <si>
    <t xml:space="preserve">Address</t>
  </si>
  <si>
    <t xml:space="preserve">Phone</t>
  </si>
  <si>
    <t xml:space="preserve">Programs</t>
  </si>
  <si>
    <t xml:space="preserve">Help offered</t>
  </si>
  <si>
    <t xml:space="preserve">Counties</t>
  </si>
  <si>
    <t xml:space="preserve">ZIPs</t>
  </si>
  <si>
    <t xml:space="preserve">People reached</t>
  </si>
  <si>
    <t xml:space="preserve">Counties served</t>
  </si>
  <si>
    <t xml:space="preserve">ZIP codes served</t>
  </si>
  <si>
    <t xml:space="preserve">Source</t>
  </si>
  <si>
    <t xml:space="preserve">Status</t>
  </si>
  <si>
    <t xml:space="preserve">SERVICE AREA — which ZIPs?</t>
  </si>
  <si>
    <t xml:space="preserve">Funding lasts until</t>
  </si>
  <si>
    <t xml:space="preserve">Reopens on</t>
  </si>
  <si>
    <t xml:space="preserve">How to apply</t>
  </si>
  <si>
    <t xml:space="preserve">Hours</t>
  </si>
  <si>
    <t xml:space="preserve">Daily cap</t>
  </si>
  <si>
    <t xml:space="preserve">Documents required</t>
  </si>
  <si>
    <t xml:space="preserve">Most common reason turned away</t>
  </si>
  <si>
    <t xml:space="preserve">Anything changing</t>
  </si>
  <si>
    <t xml:space="preserve">Spoke with</t>
  </si>
  <si>
    <t xml:space="preserve">Call outcome</t>
  </si>
  <si>
    <t xml:space="preserve">Note</t>
  </si>
  <si>
    <t xml:space="preserve">Called (date)</t>
  </si>
  <si>
    <t xml:space="preserve">VA</t>
  </si>
  <si>
    <t xml:space="preserve">BakerRipley</t>
  </si>
  <si>
    <t xml:space="preserve">Houston</t>
  </si>
  <si>
    <t xml:space="preserve">+17136679400</t>
  </si>
  <si>
    <t xml:space="preserve">CEAP, CSBG</t>
  </si>
  <si>
    <t xml:space="preserve">electric_bill, food_pantry, gas_bill, reconnect_fee, rent_assistance, transportation, utility_deposit</t>
  </si>
  <si>
    <t xml:space="preserve">Brazoria; Galveston; Harris</t>
  </si>
  <si>
    <t xml:space="preserve">77001 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77052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77205 77206 77207 77208 77210 77215 77217 77218 77219 77220 77221 77222 77223 77224 77225 77226 77227 77228 77230 77231 77233 77234 77235 77236 77237 77238 77240 77241 77242 77243 77244 77245 77248 77249 77251 77252 77253 77254 77255 77256 77257 77258 77259 77261 77262 77263 77265 77266 77267 77268 77269 77270 77271 77272 77273 77274 77275 77277 77279 77280 77282 77284 77287 77288 77289 77290 77291 77292 77293 77325 77336 77338 77339 77345 77346 77347 77373 77375 77377 77379 77383 77388 77389 77391 77396 77401 77402 77410 77411 77413 77422 77429 77430 77433 77444 77447 77449 77450 77477 77480 77484 77486 77491 77492 77493 77494 77501 77502 77503 77504 77505 77506 77507 77508 77510 77511 77512 77515 77516 77517 77518 77520 77521 77522 77523 77530 77531 77532 77534 77536 77539 77541 77542 77546 77547 77549 77550 77551 77552 77553 77554 77562 77563 77565 77566 77568 77571 77572 77573 77574 77577 77578 77581 77583 77584 77586 77587 77588 77590 77591 77592 77598 77617 77623 77650</t>
  </si>
  <si>
    <t xml:space="preserve">TDHCA Master List of Community Affairs Subrecipients</t>
  </si>
  <si>
    <t xml:space="preserve">Gulf Coast Community Services Association</t>
  </si>
  <si>
    <t xml:space="preserve">+17133934700</t>
  </si>
  <si>
    <t xml:space="preserve">The Salvation Army — Northwest Community Center</t>
  </si>
  <si>
    <t xml:space="preserve">12507 Windfern Rd</t>
  </si>
  <si>
    <t xml:space="preserve">Assistance services</t>
  </si>
  <si>
    <t xml:space="preserve">rent_assistance</t>
  </si>
  <si>
    <t xml:space="preserve">Harris</t>
  </si>
  <si>
    <t xml:space="preserve">The Salvation Army Houston Area Command — Community Centers</t>
  </si>
  <si>
    <t xml:space="preserve">The Salvation Army — International Community Center</t>
  </si>
  <si>
    <t xml:space="preserve">7920 Cook Rd</t>
  </si>
  <si>
    <t xml:space="preserve">The Salvation Army — Aldine Westfield Community Center</t>
  </si>
  <si>
    <t xml:space="preserve">2600 Aldine Westfield Rd</t>
  </si>
  <si>
    <t xml:space="preserve">The Salvation Army — Temple Community Center</t>
  </si>
  <si>
    <t xml:space="preserve">4516 Irvington Blvd</t>
  </si>
  <si>
    <t xml:space="preserve">The Salvation Army — East Harris County Community Center</t>
  </si>
  <si>
    <t xml:space="preserve">Pasadena</t>
  </si>
  <si>
    <t xml:space="preserve">2732 Cherry Brook Ln</t>
  </si>
  <si>
    <t xml:space="preserve">Catholic Charities — Main Office</t>
  </si>
  <si>
    <t xml:space="preserve">2900 Louisiana Street</t>
  </si>
  <si>
    <t xml:space="preserve">+17135264611</t>
  </si>
  <si>
    <t xml:space="preserve">Catholic Charities Archdiocese of Galveston-Houston — Locations</t>
  </si>
  <si>
    <t xml:space="preserve">Catholic Charities — Guadalupe Basic Needs Center</t>
  </si>
  <si>
    <t xml:space="preserve">326 South Jensen Drive</t>
  </si>
  <si>
    <t xml:space="preserve">Catholic Charities — St. Frances Cabrini Center</t>
  </si>
  <si>
    <t xml:space="preserve">5599 San Felipe Street, Suite 300</t>
  </si>
  <si>
    <t xml:space="preserve">+17135954100</t>
  </si>
  <si>
    <t xml:space="preserve">legal_aid</t>
  </si>
  <si>
    <t xml:space="preserve">Catholic Charities — San Jose Clinic</t>
  </si>
  <si>
    <t xml:space="preserve">2615 Fannin St</t>
  </si>
  <si>
    <t xml:space="preserve">+17138746590</t>
  </si>
  <si>
    <t xml:space="preserve">free_clinic, prescriptions</t>
  </si>
  <si>
    <t xml:space="preserve">Clear Lake Food Pantry</t>
  </si>
  <si>
    <t xml:space="preserve">15700 Space Center Blvd</t>
  </si>
  <si>
    <t xml:space="preserve">food_pantry</t>
  </si>
  <si>
    <t xml:space="preserve">Harris County Public Library — Food Banks and Food Assistance</t>
  </si>
  <si>
    <t xml:space="preserve">Klein United Methodist Church Food Pantry</t>
  </si>
  <si>
    <t xml:space="preserve">Spring</t>
  </si>
  <si>
    <t xml:space="preserve">5290 FM 2920</t>
  </si>
  <si>
    <t xml:space="preserve">+17138593405</t>
  </si>
  <si>
    <t xml:space="preserve">Trinity Klein Food Pantry</t>
  </si>
  <si>
    <t xml:space="preserve">5201 Spring Cypress Rd</t>
  </si>
  <si>
    <t xml:space="preserve">+12812904925</t>
  </si>
  <si>
    <t xml:space="preserve">Target Hunger</t>
  </si>
  <si>
    <t xml:space="preserve">YMCA of Greater Houston</t>
  </si>
  <si>
    <t xml:space="preserve">Society of St. Vincent de Paul of Harris County</t>
  </si>
  <si>
    <t xml:space="preserve">+17137418234</t>
  </si>
  <si>
    <t xml:space="preserve">electric_bill, food_pantry, rent_assistance</t>
  </si>
  <si>
    <t xml:space="preserve">needhelppayingbills.com — Harris County assistance programs (AGGREGATOR)</t>
  </si>
  <si>
    <t xml:space="preserve">Southeast Area Ministries</t>
  </si>
  <si>
    <t xml:space="preserve">South Houston</t>
  </si>
  <si>
    <t xml:space="preserve">2102 Houston Blvd</t>
  </si>
  <si>
    <t xml:space="preserve">+17139440093</t>
  </si>
  <si>
    <t xml:space="preserve">deposit_assistance, electric_bill, gas_vouchers, holiday_assistance, prescriptions, rent_assistance</t>
  </si>
  <si>
    <t xml:space="preserve">Wheeler Avenue Baptist Church Social Service Center</t>
  </si>
  <si>
    <t xml:space="preserve">3826 Wheeler Ave</t>
  </si>
  <si>
    <t xml:space="preserve">+17137485240</t>
  </si>
  <si>
    <t xml:space="preserve">electric_bill, food_pantry, mortgage_assistance, rent_assistance</t>
  </si>
  <si>
    <t xml:space="preserve">St. Joseph Social Ministry</t>
  </si>
  <si>
    <t xml:space="preserve">4040 W Fuqua St</t>
  </si>
  <si>
    <t xml:space="preserve">+17132228903</t>
  </si>
  <si>
    <t xml:space="preserve">electric_bill, food_pantry</t>
  </si>
  <si>
    <t xml:space="preserve">St. Mary Magdalene Social Services</t>
  </si>
  <si>
    <t xml:space="preserve">Humble</t>
  </si>
  <si>
    <t xml:space="preserve">+12815401907</t>
  </si>
  <si>
    <t xml:space="preserve">St. Justin Martyr Social Ministry</t>
  </si>
  <si>
    <t xml:space="preserve">+12815565116</t>
  </si>
  <si>
    <t xml:space="preserve">electric_bill, gas_bill, rent_assistance, water_bill</t>
  </si>
  <si>
    <t xml:space="preserve">Christian Community Service Center, Inc.</t>
  </si>
  <si>
    <t xml:space="preserve">3434 Branard St</t>
  </si>
  <si>
    <t xml:space="preserve">+17138719741</t>
  </si>
  <si>
    <t xml:space="preserve">dental, electric_bill, food_pantry, holiday_assistance, prescriptions, rent_assistance</t>
  </si>
  <si>
    <t xml:space="preserve">Cypress Assistance Ministries</t>
  </si>
  <si>
    <t xml:space="preserve">Cypress</t>
  </si>
  <si>
    <t xml:space="preserve">12930 Cypress North Houston Rd</t>
  </si>
  <si>
    <t xml:space="preserve">+12819557684</t>
  </si>
  <si>
    <t xml:space="preserve">holiday_assistance</t>
  </si>
  <si>
    <t xml:space="preserve">Covenant House Texas</t>
  </si>
  <si>
    <t xml:space="preserve">1111 Lovett Blvd.</t>
  </si>
  <si>
    <t xml:space="preserve">+17135232231</t>
  </si>
  <si>
    <t xml:space="preserve">free_clinic, holiday_assistance, prescriptions, rent_assistance</t>
  </si>
  <si>
    <t xml:space="preserve">Windsor Village United Methodist Church</t>
  </si>
  <si>
    <t xml:space="preserve">6011 W Orem Dr</t>
  </si>
  <si>
    <t xml:space="preserve">+17137238187</t>
  </si>
  <si>
    <t xml:space="preserve">electric_bill, food_pantry, mortgage_assistance, rent_assistance, transportation</t>
  </si>
  <si>
    <t xml:space="preserve">Memorial Assistance Ministries</t>
  </si>
  <si>
    <t xml:space="preserve">+17134684516</t>
  </si>
  <si>
    <t xml:space="preserve">electric_bill, legal_aid, rent_assistance</t>
  </si>
  <si>
    <t xml:space="preserve">Northwest Assistance Ministries</t>
  </si>
  <si>
    <t xml:space="preserve">+12818854555</t>
  </si>
  <si>
    <t xml:space="preserve">deposit_assistance, food_pantry, gas_bill, hot_meals, mortgage_assistance, prescriptions, rent_assistance, transportation, water_bill</t>
  </si>
  <si>
    <t xml:space="preserve">St. Pius Catholic Church</t>
  </si>
  <si>
    <t xml:space="preserve">824 Main St</t>
  </si>
  <si>
    <t xml:space="preserve">+17134739484</t>
  </si>
  <si>
    <t xml:space="preserve">Harris County Area Agency on Aging</t>
  </si>
  <si>
    <t xml:space="preserve">8000 N Stadium Dr</t>
  </si>
  <si>
    <t xml:space="preserve">+18323934301</t>
  </si>
  <si>
    <t xml:space="preserve">food_pantry, transportation</t>
  </si>
  <si>
    <t xml:space="preserve">My Brother's Keeper Outreach Center</t>
  </si>
  <si>
    <t xml:space="preserve">12621 Bissonnet St</t>
  </si>
  <si>
    <t xml:space="preserve">+12814989933</t>
  </si>
  <si>
    <t xml:space="preserve">electric_bill, food_pantry, holiday_assistance, rent_assistance</t>
  </si>
  <si>
    <t xml:space="preserve">St. John Vianney Social Ministry</t>
  </si>
  <si>
    <t xml:space="preserve">625 Nottingham Oaks Trail</t>
  </si>
  <si>
    <t xml:space="preserve">+12814971500</t>
  </si>
  <si>
    <t xml:space="preserve">Humble Area Assistance Ministries</t>
  </si>
  <si>
    <t xml:space="preserve">1302 First Street</t>
  </si>
  <si>
    <t xml:space="preserve">+12814463663</t>
  </si>
  <si>
    <t xml:space="preserve">deposit_assistance, electric_bill, eviction_prevention, legal_aid, rent_assistance</t>
  </si>
  <si>
    <t xml:space="preserve">LINC Houston Community Services</t>
  </si>
  <si>
    <t xml:space="preserve">800 Houston Ave</t>
  </si>
  <si>
    <t xml:space="preserve">+17134262451</t>
  </si>
  <si>
    <t xml:space="preserve">food_pantry, gas_vouchers, prescriptions, rent_assistance, transportation, vision</t>
  </si>
  <si>
    <t xml:space="preserve">Riceville Mt. Olive Baptist Church</t>
  </si>
  <si>
    <t xml:space="preserve">11539 S Gessner Rd</t>
  </si>
  <si>
    <t xml:space="preserve">+17137744880</t>
  </si>
  <si>
    <t xml:space="preserve">food_pantry, holiday_assistance, school_supplies</t>
  </si>
  <si>
    <t xml:space="preserve">West Houston Assistance Ministries</t>
  </si>
  <si>
    <t xml:space="preserve">+17139779942</t>
  </si>
  <si>
    <t xml:space="preserve">electric_bill, food_pantry, holiday_assistance, mortgage_assistance, rent_assistance, transportation</t>
  </si>
  <si>
    <t xml:space="preserve">Interfaith Caring Ministries</t>
  </si>
  <si>
    <t xml:space="preserve">+12813323881</t>
  </si>
  <si>
    <t xml:space="preserve">Katy Christian Ministries</t>
  </si>
  <si>
    <t xml:space="preserve">Katy</t>
  </si>
  <si>
    <t xml:space="preserve">23232 Kingsland Blvd</t>
  </si>
  <si>
    <t xml:space="preserve">+12813915261</t>
  </si>
  <si>
    <t xml:space="preserve">electric_bill, holiday_assistance, rent_assistance</t>
  </si>
  <si>
    <t xml:space="preserve">Cathedral Health and Outreach Ministries</t>
  </si>
  <si>
    <t xml:space="preserve">1212 Prairie St</t>
  </si>
  <si>
    <t xml:space="preserve">+17132209737</t>
  </si>
  <si>
    <t xml:space="preserve">dental, food_pantry, free_clinic, holiday_assistance, hot_meals, legal_aid, prescriptions</t>
  </si>
  <si>
    <t xml:space="preserve">Tomball Emergency Assistance Ministries</t>
  </si>
  <si>
    <t xml:space="preserve">Tomball</t>
  </si>
  <si>
    <t xml:space="preserve">300 W Main St</t>
  </si>
  <si>
    <t xml:space="preserve">+12813516700</t>
  </si>
  <si>
    <t xml:space="preserve">electric_bill, gas_bill, prescriptions, rent_assistance</t>
  </si>
  <si>
    <t xml:space="preserve">AIDS Foundation Houston, Inc.</t>
  </si>
  <si>
    <t xml:space="preserve">6260 Westpark Dr</t>
  </si>
  <si>
    <t xml:space="preserve">+17136236796</t>
  </si>
  <si>
    <t xml:space="preserve">electric_bill, free_clinic, gas_vouchers, prescriptions, rent_assistance, transportation</t>
  </si>
  <si>
    <t xml:space="preserve">Bering Omega Community Services</t>
  </si>
  <si>
    <t xml:space="preserve">+17135296071</t>
  </si>
  <si>
    <t xml:space="preserve">free_clinic, prescriptions, rent_assistance, transportation</t>
  </si>
  <si>
    <t xml:space="preserve">Brentwood Community Foundation</t>
  </si>
  <si>
    <t xml:space="preserve">13033 1/2 Landmark Street</t>
  </si>
  <si>
    <t xml:space="preserve">+17138522551</t>
  </si>
  <si>
    <t xml:space="preserve">Houston Area Urban League</t>
  </si>
  <si>
    <t xml:space="preserve">+17133938700</t>
  </si>
  <si>
    <t xml:space="preserve">mortgage_assistance</t>
  </si>
  <si>
    <t xml:space="preserve">Harris County Community Services</t>
  </si>
  <si>
    <t xml:space="preserve">9418 Jensen Dr</t>
  </si>
  <si>
    <t xml:space="preserve">+17136967900</t>
  </si>
  <si>
    <t xml:space="preserve">burial_assistance, electric_bill, food_pantry, rent_assistance</t>
  </si>
  <si>
    <t xml:space="preserve">Harris County Community Services — NW Satellite Office</t>
  </si>
  <si>
    <t xml:space="preserve">15555 Kuykendahl</t>
  </si>
  <si>
    <t xml:space="preserve">Star of Hope</t>
  </si>
  <si>
    <t xml:space="preserve">Wesley Community Center, Inc.</t>
  </si>
  <si>
    <t xml:space="preserve">1410 Lee St</t>
  </si>
  <si>
    <t xml:space="preserve">+17132238131</t>
  </si>
  <si>
    <t xml:space="preserve">Collaborative for Children</t>
  </si>
  <si>
    <t xml:space="preserve">+17136001100</t>
  </si>
  <si>
    <t xml:space="preserve">childcare</t>
  </si>
  <si>
    <t xml:space="preserve">Avance Inc.</t>
  </si>
  <si>
    <t xml:space="preserve">+17138120033</t>
  </si>
  <si>
    <t xml:space="preserve">Harris County Department of Education</t>
  </si>
  <si>
    <t xml:space="preserve">+17132733211</t>
  </si>
  <si>
    <t xml:space="preserve">United Way of Greater Houston</t>
  </si>
  <si>
    <t xml:space="preserve">+17136852300</t>
  </si>
  <si>
    <t xml:space="preserve">Community Services, Inc.</t>
  </si>
  <si>
    <t xml:space="preserve">Corsicana</t>
  </si>
  <si>
    <t xml:space="preserve">+19038722401</t>
  </si>
  <si>
    <t xml:space="preserve">CEAP, WAP</t>
  </si>
  <si>
    <t xml:space="preserve">electric_bill, gas_bill, home_repair, hvac_repair, reconnect_fee, utility_deposit, weatherization</t>
  </si>
  <si>
    <t xml:space="preserve">Anderson; Collin; Denton; Ellis; Henderson; Hunt; Kaufman; Navarro; Rockwall; Van Zandt</t>
  </si>
  <si>
    <t xml:space="preserve">75002 75007 75009 75010 75011 75013 75022 75023 75024 75025 75026 75027 75028 75029 75032 75033 75034 75035 75036 75048 75056 75057 75065 75067 75068 75069 75070 75071 75072 75074 75075 75077 75078 75080 75082 75086 75087 75088 75089 75093 75094 75098 75102 75103 75105 75109 75110 75114 75117 75119 75124 75125 75126 75127 75135 75140 75142 75143 75144 75147 75148 75151 75152 75153 75154 75155 75156 75157 75158 75159 75160 75161 75163 75165 75166 75167 75168 75169 75173 75189 75252 75287 75370 75379 75401 75402 75403 75404 75407 75409 75422 75423 75424 75428 75442 75449 75452 75453 75454 75469 75474 75495 75496 75751 75752 75754 75756 75758 75763 75770 75778 75779 75790 75801 75802 75803 75832 75839 75844 75853 75859 75861 76041 76052 76064 76065 76078 76084 76177 76201 76202 76205 76206 76207 76208 76209 76210 76226 76227 76247 76249 76258 76259 76262 76266 76626 76639 76641 76648 76651 76670 76679 76681 76693</t>
  </si>
  <si>
    <t xml:space="preserve">Texoma Council of Governments</t>
  </si>
  <si>
    <t xml:space="preserve">Sherman</t>
  </si>
  <si>
    <t xml:space="preserve">+19038932161</t>
  </si>
  <si>
    <t xml:space="preserve">CEAP, CSBG, WAP</t>
  </si>
  <si>
    <t xml:space="preserve">electric_bill, food_pantry, gas_bill, home_repair, hvac_repair, reconnect_fee, rent_assistance, transportation, utility_deposit, weatherization</t>
  </si>
  <si>
    <t xml:space="preserve">Bowie; Camp; Cass; Collin; Cooke; Delta; Denton; Fannin; Franklin; Grayson; Hopkins; Hunt; Lamar; Marion; Morris; Rains; Red River; Rockwall; Titus</t>
  </si>
  <si>
    <t xml:space="preserve">75002 75007 75009 75010 75011 75013 75020 75021 75022 75023 75024 75025 75026 75027 75028 75029 75032 75033 75034 75035 75036 75048 75056 75057 75058 75065 75067 75068 75069 75070 75071 75072 75074 75075 75076 75077 75078 75080 75082 75086 75087 75088 75089 75090 75091 75092 75093 75094 75098 75135 75160 75166 75169 75173 75189 75252 75287 75370 75379 75401 75402 75403 75404 75407 75409 75410 75411 75412 75414 75415 75416 75417 75418 75420 75421 75422 75423 75424 75426 75428 75431 75432 75433 75435 75436 75437 75438 75439 75440 75441 75442 75446 75447 75448 75449 75450 75451 75452 75453 75454 75455 75456 75457 75459 75460 75461 75462 75468 75469 75470 75471 75472 75473 75474 75476 75477 75478 75479 75480 75481 75482 75483 75486 75487 75488 75489 75490 75491 75492 75494 75495 75496 75497 75501 75503 75504 75505 75550 75551 75554 75555 75556 75558 75559 75560 75561 75562 75563 75564 75566 75567 75568 75569 75570 75571 75572 75574 75630 75638 75656 75657 75668 75683 75686 76052 76078 76177 76201 76202 76205 76206 76207 76208 76209 76210 76226 76227 76233 76238 76239 76240 76241 76245 76247 76249 76250 76252 76253 76258 76259 76262 76263 76264 76265 76266 76271 76272 76273</t>
  </si>
  <si>
    <t xml:space="preserve">Community Council of Greater Dallas</t>
  </si>
  <si>
    <t xml:space="preserve">Dallas</t>
  </si>
  <si>
    <t xml:space="preserve">+12148715065</t>
  </si>
  <si>
    <t xml:space="preserve">75001 75006 75007 75011 75014 75015 75016 75017 75019 75030 75038 75039 75040 75041 75042 75043 75044 75045 75046 75047 75048 75049 75050 75051 75052 75053 75054 75060 75061 75062 75063 75080 75081 75082 75083 75085 75088 75089 75104 75106 75115 75116 75123 75134 75137 75138 75141 75146 75149 75150 75154 75159 75172 75180 75181 75182 75185 75187 75201 75202 75203 75204 75205 75206 75207 75208 75209 75210 75211 75212 75214 75215 75216 75217 75218 75219 75220 75221 75222 75223 75224 75225 75226 75227 75228 75229 75230 75231 75232 75233 75234 75235 75236 75237 75238 75240 75241 75242 75243 75244 75246 75247 75248 75249 75250 75251 75253 75254 75313 75315 75336 75339 75342 75354 75355 75356 75357 75360 75367 75371 75372 75374 75376 75378 75380 75381 75382</t>
  </si>
  <si>
    <t xml:space="preserve">Dallas County Department of Health and Human Services</t>
  </si>
  <si>
    <t xml:space="preserve">+12148191848</t>
  </si>
  <si>
    <t xml:space="preserve">Alamo Area Council of Governments</t>
  </si>
  <si>
    <t xml:space="preserve">San Antonio</t>
  </si>
  <si>
    <t xml:space="preserve">+12103625200</t>
  </si>
  <si>
    <t xml:space="preserve">Atascosa; Bandera; Bexar; Comal; Frio; Gillespie; Guadalupe; Karnes; Kendall; Kerr; Medina; Wilson</t>
  </si>
  <si>
    <t xml:space="preserve">78002 78003 78004 78005 78006 78008 78009 78010 78011 78012 78013 78015 78016 78017 78023 78024 78025 78026 78027 78028 78029 78039 78050 78052 78054 78055 78056 78057 78058 78059 78061 78062 78063 78064 78065 78066 78069 78070 78073 78074 78101 78108 78109 78111 78112 78113 78114 78115 78116 78117 78118 78119 78121 78123 78124 78130 78131 78132 78133 78140 78141 78147 78148 78150 78151 78152 78154 78155 78156 78160 78161 78163 78201 78202 78203 78204 78205 78206 78207 78208 78209 78210 78211 78212 78213 78214 78215 78216 78217 78218 78219 78220 78221 78222 78223 78224 78225 78226 78227 78228 78229 78230 78231 78232 78233 78234 78235 78236 78237 78238 78239 78240 78242 78244 78245 78246 78247 78248 78249 78250 78251 78252 78253 78254 78255 78256 78257 78258 78259 78260 78261 78263 78264 78265 78266 78268 78269 78270 78278 78279 78280 78283 78284 78288 78291 78292 78293 78294 78295 78296 78297 78298 78299 78618 78623 78624 78631 78638 78648 78655 78670 78671 78675 78850 78861 78883 78884 78885 78886</t>
  </si>
  <si>
    <t xml:space="preserve">Greater East Texas Community Action Program (GETCAP)</t>
  </si>
  <si>
    <t xml:space="preserve">Nacogdoches</t>
  </si>
  <si>
    <t xml:space="preserve">+18006215746</t>
  </si>
  <si>
    <t xml:space="preserve">Anderson; Angelina; Chambers; Cherokee; Galveston; Gregg; Hardin; Harrison; Henderson; Houston; Jasper; Jefferson; Kaufman; Liberty; Nacogdoches; Newton; Orange; Panola; Polk; Rusk; Sabine; San Augustine; San Jacinto; Shelby; Smith; Trinity; Tyler; Upshur; Van Zandt; Wood</t>
  </si>
  <si>
    <t xml:space="preserve">75103 75114 75117 75124 75126 75127 75140 75142 75143 75147 75148 75156 75157 75158 75159 75160 75161 75163 75169 75410 75431 75494 75497 75601 75602 75603 75604 75605 75606 75607 75608 75615 75631 75633 75639 75640 75642 75643 75644 75645 75647 75650 75651 75652 75654 75660 75661 75662 75663 75666 75667 75669 75670 75671 75672 75681 75683 75684 75686 75688 75691 75692 75693 75701 75702 75703 75704 75705 75706 75707 75708 75709 75710 75711 75712 75713 75750 75751 75752 75754 75755 75756 75757 75758 75759 75760 75762 75763 75764 75765 75766 75770 75771 75773 75778 75779 75783 75784 75785 75789 75790 75791 75792 75801 75802 75803 75832 75835 75839 75844 75845 75847 75851 75853 75856 75861 75862 75865 75901 75902 75903 75904 75915 75925 75926 75928 75929 75930 75931 75932 75933 75935 75936 75937 75938 75939 75941 75942 75943 75944 75946 75948 75949 75951 75954 75956 75959 75960 75961 75963 75964 75965 75966 75968 75969 75972 75973 75974 75975 75976 75977 75979 75980 77320 77327 77328 77331 77335 77351 77358 77359 77360 77364 77371 77372 77376 77378 77399 77510 77511 77514 77517 77518 77519 77523 77533 77535 77538 77539 77546 77549 77550 77551 77552 77553 77554 77560 77563 77564 77565 77568 77573 77574 77575 77580 77585 77590 77591 77592 77597 77611 77612 77613 77616 77617 77619 77622 77623 77624 77625 77627 77629 77630 77631 77632 77639 77640 77641 77642 77643 77650 77651 77655 77656 77657 77659 77660 77662 77663 77664 77665 77670 77701 77702 77703 77704 77705 77706 77707 77708 77713 77720 77725 77726</t>
  </si>
  <si>
    <t xml:space="preserve">Fort Worth, City of, Neighborhood Services Department</t>
  </si>
  <si>
    <t xml:space="preserve">Fort Worth</t>
  </si>
  <si>
    <t xml:space="preserve">+18173925790</t>
  </si>
  <si>
    <t xml:space="preserve">Tarrant</t>
  </si>
  <si>
    <t xml:space="preserve">75050 75051 75052 75053 75054 75261 76001 76002 76003 76004 76005 76006 76007 76008 76010 76011 76012 76013 76014 76015 76016 76017 76018 76020 76021 76022 76028 76034 76036 76039 76040 76051 76052 76053 76054 76060 76063 76071 76092 76094 76095 76096 76099 76101 76102 76103 76104 76105 76106 76107 76108 76109 76110 76111 76112 76113 76114 76115 76116 76117 76118 76119 76120 76121 76123 76124 76126 76127 76131 76132 76133 76134 76135 76136 76137 76140 76147 76148 76155 76161 76162 76163 76164 76177 76179 76180 76182 76185 76244 76248 76262</t>
  </si>
  <si>
    <t xml:space="preserve">Bexar County Department of Community Resources</t>
  </si>
  <si>
    <t xml:space="preserve">+12103353666</t>
  </si>
  <si>
    <t xml:space="preserve">Bexar</t>
  </si>
  <si>
    <t xml:space="preserve">78002 78006 78015 78023 78039 78052 78054 78069 78073 78101 78109 78112 78148 78150 78152 78154 78201 78202 78203 78204 78205 78206 78207 78208 78209 78210 78211 78212 78213 78214 78215 78216 78217 78218 78219 78220 78221 78222 78223 78224 78225 78226 78227 78228 78229 78230 78231 78232 78233 78234 78235 78236 78237 78238 78239 78240 78242 78244 78245 78246 78247 78248 78249 78250 78251 78252 78253 78254 78255 78256 78257 78258 78259 78260 78261 78263 78264 78265 78266 78268 78269 78270 78278 78279 78280 78283 78284 78288 78291 78292 78293 78294 78295 78296 78297 78298 78299</t>
  </si>
  <si>
    <t xml:space="preserve">San Antonio, City of, Department of Human Services</t>
  </si>
  <si>
    <t xml:space="preserve">+12102078198</t>
  </si>
  <si>
    <t xml:space="preserve">Community Action Corporation of South Texas</t>
  </si>
  <si>
    <t xml:space="preserve">Alice</t>
  </si>
  <si>
    <t xml:space="preserve">+13616640145</t>
  </si>
  <si>
    <t xml:space="preserve">Bee; Brooks; Cameron; Duval; Hidalgo; Jim Hogg; Jim Wells; Kenedy; Kleberg; San Patricio; Starr; Webb; Willacy; Zapata</t>
  </si>
  <si>
    <t xml:space="preserve">78019 78040 78041 78042 78043 78044 78045 78046 78067 78076 78102 78104 78119 78125 78142 78146 78162 78332 78335 78336 78338 78341 78344 78349 78352 78353 78355 78357 78359 78360 78361 78362 78363 78368 78369 78370 78371 78372 78374 78375 78376 78379 78383 78384 78385 78387 78389 78390 78391 78501 78502 78503 78504 78505 78516 78520 78521 78522 78523 78526 78535 78536 78537 78538 78539 78540 78541 78542 78543 78545 78547 78548 78550 78551 78552 78553 78557 78559 78560 78561 78562 78563 78564 78566 78569 78570 78572 78573 78574 78575 78576 78577 78578 78579 78580 78582 78583 78584 78586 78588 78589 78591 78593 78595 78596 78597 78598 78599</t>
  </si>
  <si>
    <t xml:space="preserve">Combined Community Action, Inc.</t>
  </si>
  <si>
    <t xml:space="preserve">Giddings</t>
  </si>
  <si>
    <t xml:space="preserve">+19795402980</t>
  </si>
  <si>
    <t xml:space="preserve">Austin; Bastrop; Blanco; Caldwell; Colorado; Fayette; Fort Bend; Hays; Lee; Wharton</t>
  </si>
  <si>
    <t xml:space="preserve">77053 77083 77406 77407 77412 77417 77418 77420 77423 77426 77430 77434 77435 77437 77441 77442 77444 77448 77450 77451 77453 77454 77455 77459 77461 77467 77469 77470 77471 77474 77475 77477 77478 77479 77481 77485 77487 77488 77489 77494 77496 77497 77498 77545 77583 77584 77853 78602 78606 78610 78612 78616 78617 78619 78620 78621 78632 78635 78636 78640 78644 78648 78650 78652 78655 78656 78659 78661 78662 78663 78666 78667 78676 78737 78931 78932 78933 78934 78935 78938 78940 78941 78942 78943 78944 78945 78946 78947 78948 78949 78950 78951 78952 78953 78954 78956 78957 78959 78962 78963</t>
  </si>
  <si>
    <t xml:space="preserve">City of Austin Health and Human Services Department</t>
  </si>
  <si>
    <t xml:space="preserve">Austin</t>
  </si>
  <si>
    <t xml:space="preserve">+15129725000</t>
  </si>
  <si>
    <t xml:space="preserve">Travis</t>
  </si>
  <si>
    <t xml:space="preserve">78610 78613 78615 78617 78620 78621 78641 78645 78652 78653 78660 78664 78669 78691 78701 78702 78703 78704 78705 78708 78709 78711 78714 78715 78716 78718 78719 78720 78721 78722 78723 78724 78725 78726 78727 78728 78729 78730 78731 78732 78733 78734 78735 78736 78737 78738 78739 78741 78742 78744 78745 78746 78747 78748 78749 78750 78751 78752 78753 78754 78755 78756 78757 78758 78759 78760 78761 78762 78763 78764 78765 78766 78767 78768</t>
  </si>
  <si>
    <t xml:space="preserve">Travis County Health &amp; Human Services/Veterans Services</t>
  </si>
  <si>
    <t xml:space="preserve">+15128547250</t>
  </si>
  <si>
    <t xml:space="preserve">Hill Country Community Action Association, Inc.</t>
  </si>
  <si>
    <t xml:space="preserve">San Saba</t>
  </si>
  <si>
    <t xml:space="preserve">+13253725167</t>
  </si>
  <si>
    <t xml:space="preserve">Bell; Burnet; Coryell; Erath; Hamilton; Lampasas; Llano; Mason; Milam; Mills; San Saba; Somervell; Williamson</t>
  </si>
  <si>
    <t xml:space="preserve">76043 76070 76077 76401 76433 76436 76445 76446 76453 76457 76462 76463 76465 76501 76502 76503 76504 76511 76513 76518 76519 76520 76522 76525 76527 76528 76530 76531 76533 76534 76537 76538 76539 76540 76541 76542 76543 76544 76547 76548 76549 76550 76554 76556 76557 76559 76561 76565 76566 76567 76569 76571 76573 76574 76577 76578 76579 76649 76689 76690 76820 76824 76831 76832 76842 76844 76853 76856 76864 76869 76870 76871 76872 76877 76885 76890 77857 78605 78607 78608 78609 78611 78613 78615 78621 78626 78627 78628 78630 78633 78634 78639 78641 78642 78643 78646 78654 78657 78664 78665 78669 78672 78674 78680 78681 78683 78717 78728 78729 78750</t>
  </si>
  <si>
    <t xml:space="preserve">Brazos Valley Community Action Programs</t>
  </si>
  <si>
    <t xml:space="preserve">Bryan</t>
  </si>
  <si>
    <t xml:space="preserve">+19795952800</t>
  </si>
  <si>
    <t xml:space="preserve">Brazos; Burleson; Chambers; Grimes; Leon; Liberty; Madison; Montgomery; Robertson; Walker; Waller; Washington</t>
  </si>
  <si>
    <t xml:space="preserve">75831 75833 75846 75850 75852 75855 76629 76687 77301 77302 77303 77304 77305 77306 77316 77318 77320 77327 77328 77339 77340 77342 77353 77354 77355 77356 77357 77358 77362 77363 77365 77372 77378 77380 77381 77382 77384 77385 77386 77387 77393 77423 77426 77445 77446 77447 77484 77493 77514 77523 77533 77535 77538 77560 77564 77575 77580 77597 77665 77801 77802 77803 77805 77806 77807 77808 77830 77831 77833 77834 77835 77836 77837 77840 77841 77842 77845 77856 77859 77861 77864 77865 77868 77871 77872 77873 77879 77880 77881 78932 78946</t>
  </si>
  <si>
    <t xml:space="preserve">Community Council of South Central Texas, Inc.</t>
  </si>
  <si>
    <t xml:space="preserve">Seguin</t>
  </si>
  <si>
    <t xml:space="preserve">+18303034376</t>
  </si>
  <si>
    <t xml:space="preserve">Atascosa; Bandera; Brewster; Comal; Crane; Culberson; Dimmit; Edwards; Frio; Gillespie; Guadalupe; Hudspeth; Jeff Davis; Karnes; Kendall; Kerr; Kinney; La Salle; Live Oak; Maverick; McMullen; Medina; Pecos; Presidio; Real; Terrell; Uvalde; Val Verde; Wilson; Zavala</t>
  </si>
  <si>
    <t xml:space="preserve">78001 78003 78004 78005 78006 78007 78008 78009 78010 78011 78012 78013 78014 78015 78016 78017 78019 78021 78022 78024 78025 78026 78027 78028 78029 78039 78050 78052 78055 78056 78057 78058 78059 78060 78061 78062 78063 78064 78065 78066 78069 78070 78071 78072 78073 78074 78075 78101 78108 78111 78113 78114 78115 78116 78117 78118 78119 78121 78123 78124 78130 78131 78132 78133 78140 78141 78147 78151 78154 78155 78156 78160 78161 78163 78253 78264 78266 78350 78368 78383 78618 78623 78624 78631 78638 78648 78655 78670 78671 78675 78801 78802 78827 78828 78829 78830 78832 78833 78834 78836 78837 78838 78839 78840 78841 78842 78850 78851 78852 78853 78860 78861 78870 78871 78872 78873 78877 78879 78880 78881 78883 78884 78885 78886 79730 79731 79734 79735 79740 79743 79744 79781 79830 79837 79839 79842 79843 79845 79846 79847 79848 79851 79852 79854 79855</t>
  </si>
  <si>
    <t xml:space="preserve">Catholic Charities — Mamie George Community Center</t>
  </si>
  <si>
    <t xml:space="preserve">Richmond</t>
  </si>
  <si>
    <t xml:space="preserve">1111 Collins Road</t>
  </si>
  <si>
    <t xml:space="preserve">+12812026200</t>
  </si>
  <si>
    <t xml:space="preserve">Fort Bend</t>
  </si>
  <si>
    <t xml:space="preserve">Catholic Charities — San Jose Clinic Rosenberg</t>
  </si>
  <si>
    <t xml:space="preserve">Rosenberg</t>
  </si>
  <si>
    <t xml:space="preserve">1615 Avenue E</t>
  </si>
  <si>
    <t xml:space="preserve">Economic Opportunities Advancement Corporation</t>
  </si>
  <si>
    <t xml:space="preserve">Waco</t>
  </si>
  <si>
    <t xml:space="preserve">+12547530331</t>
  </si>
  <si>
    <t xml:space="preserve">Bosque; Ellis; Falls; Freestone; Hill; Johnson; Limestone; McLennan; Navarro</t>
  </si>
  <si>
    <t xml:space="preserve">75102 75105 75109 75110 75119 75125 75144 75151 75152 75153 75154 75155 75165 75167 75168 75831 75838 75840 75846 75848 75855 75859 75860 76009 76028 76031 76033 76036 76041 76044 76050 76055 76058 76059 76061 76063 76064 76065 76084 76093 76097 76457 76524 76557 76570 76621 76622 76624 76626 76627 76628 76629 76630 76631 76632 76633 76634 76635 76636 76637 76638 76639 76640 76641 76642 76643 76645 76648 76649 76651 76652 76653 76655 76656 76657 76660 76661 76664 76665 76666 76667 76670 76671 76673 76676 76678 76679 76680 76681 76682 76685 76687 76689 76690 76691 76692 76693 76701 76702 76703 76704 76705 76706 76707 76708 76710 76711 76712 76714 76716 76798</t>
  </si>
  <si>
    <t xml:space="preserve">Hidalgo County Community Services Agency</t>
  </si>
  <si>
    <t xml:space="preserve">Edinburg</t>
  </si>
  <si>
    <t xml:space="preserve">+19563836240</t>
  </si>
  <si>
    <t xml:space="preserve">Hidalgo</t>
  </si>
  <si>
    <t xml:space="preserve">78501 78502 78503 78504 78505 78516 78537 78538 78539 78540 78541 78542 78543 78557 78560 78562 78563 78570 78572 78573 78574 78576 78577 78579 78589 78595 78596 78599</t>
  </si>
  <si>
    <t xml:space="preserve">Rolling Plains Management Corporation</t>
  </si>
  <si>
    <t xml:space="preserve">Crowell</t>
  </si>
  <si>
    <t xml:space="preserve">+19406841571</t>
  </si>
  <si>
    <t xml:space="preserve">Archer; Baylor; Brown; Callahan; Clay; Comanche; Cottle; Eastland; Foard; Hardeman; Haskell; Hood; Jack; Jones; Kent; Knox; Montague; Palo Pinto; Parker; Shackelford; Stephens; Stonewall; Taylor; Throckmorton; Wichita; Wilbarger; Wise; Young</t>
  </si>
  <si>
    <t xml:space="preserve">76008 76020 76023 76035 76048 76049 76066 76067 76071 76073 76078 76082 76085 76086 76087 76088 76098 76108 76225 76228 76230 76234 76239 76251 76255 76261 76265 76270 76301 76302 76305 76306 76307 76308 76309 76310 76311 76351 76354 76357 76360 76363 76364 76365 76366 76367 76370 76371 76372 76373 76374 76377 76379 76380 76384 76388 76389 76424 76426 76427 76429 76430 76431 76432 76433 76435 76436 76437 76442 76443 76444 76445 76446 76448 76449 76450 76453 76454 76455 76458 76459 76460 76462 76463 76464 76468 76470 76471 76472 76474 76475 76476 76481 76483 76484 76486 76487 76490 76491 76801 76802 76803 76804 76823 76827 76857 76890 79225 79227 79247 79248 79252 79501 79502 79503 79504 79505 79508 79510 79518 79519 79520 79521 79525 79528 79529 79530 79533 79536 79539 79540 79541 79544 79547 79548 79553 79560 79561 79562 79563 79566 79601 79602 79603 79604 79605 79606 79607 79608</t>
  </si>
  <si>
    <t xml:space="preserve">El Paso Community Action, Project BRAVO</t>
  </si>
  <si>
    <t xml:space="preserve">El Paso</t>
  </si>
  <si>
    <t xml:space="preserve">+19155624100</t>
  </si>
  <si>
    <t xml:space="preserve">79821 79835 79836 79838 79849 79853 79901 79902 79903 79904 79905 79906 79907 79908 79911 79912 79913 79914 79915 79916 79917 79922 79923 79924 79925 79926 79927 79928 79929 79930 79931 79932 79934 79935 79936 79937 79938 79940 79941 79942 79943 79944 79945 79946 79947 79948 79949 79950 79951 79952 79953 79954 79955 79995 79996 79997</t>
  </si>
  <si>
    <t xml:space="preserve">Williamson-Burnet County Opportunities, Inc.</t>
  </si>
  <si>
    <t xml:space="preserve">Georgetown</t>
  </si>
  <si>
    <t xml:space="preserve">+15127631400</t>
  </si>
  <si>
    <t xml:space="preserve">Burnet; Williamson</t>
  </si>
  <si>
    <t xml:space="preserve">76511 76527 76530 76537 76550 76573 76574 76578 78605 78608 78611 78613 78615 78621 78626 78627 78628 78630 78633 78634 78639 78641 78642 78646 78654 78657 78664 78665 78669 78674 78680 78681 78683 78717 78728 78729 78750</t>
  </si>
  <si>
    <t xml:space="preserve">Crossroads Community Action</t>
  </si>
  <si>
    <t xml:space="preserve">Victoria</t>
  </si>
  <si>
    <t xml:space="preserve">+18006950314</t>
  </si>
  <si>
    <t xml:space="preserve">Aransas; Bee; Brazoria; Calhoun; DeWitt; Goliad; Gonzales; Jackson; Lavaca; Live Oak; Matagorda; McMullen; Refugio; Victoria; Wharton</t>
  </si>
  <si>
    <t xml:space="preserve">77404 77414 77419 77420 77422 77428 77430 77434 77435 77437 77444 77448 77453 77454 77455 77457 77458 77465 77467 77468 77480 77482 77486 77488 77511 77512 77515 77516 77531 77534 77541 77542 77566 77577 77578 77581 77583 77584 77588 77901 77902 77903 77904 77905 77950 77951 77954 77957 77960 77961 77962 77963 77964 77967 77968 77969 77970 77971 77974 77975 77976 77977 77978 77979 77982 77983 77984 77986 77988 77990 77991 77994 77995 78007 78008 78022 78060 78071 78072 78075 78102 78104 78107 78119 78122 78125 78140 78141 78142 78146 78159 78162 78164 78336 78340 78350 78358 78368 78377 78381 78382 78383 78389 78391 78393 78614 78629 78632 78677 78956 78959</t>
  </si>
  <si>
    <t xml:space="preserve">The Salvation Army — Conroe Community Center</t>
  </si>
  <si>
    <t xml:space="preserve">Conroe</t>
  </si>
  <si>
    <t xml:space="preserve">304 Avenue E</t>
  </si>
  <si>
    <t xml:space="preserve">Montgomery</t>
  </si>
  <si>
    <t xml:space="preserve">Texas Neighborhood Services</t>
  </si>
  <si>
    <t xml:space="preserve">Weatherford</t>
  </si>
  <si>
    <t xml:space="preserve">+18175985700</t>
  </si>
  <si>
    <t xml:space="preserve">Erath; Hood; Johnson; Palo Pinto; Parker; Somervell; Wise</t>
  </si>
  <si>
    <t xml:space="preserve">76008 76009 76020 76023 76028 76031 76033 76035 76036 76043 76044 76048 76049 76050 76058 76059 76061 76063 76066 76067 76070 76071 76073 76077 76078 76082 76084 76085 76086 76087 76088 76093 76097 76098 76108 76225 76234 76270 76401 76426 76429 76431 76433 76445 76446 76449 76453 76457 76462 76463 76465 76472 76475 76476 76484 76486 76487 76490 76649 76690</t>
  </si>
  <si>
    <t xml:space="preserve">West Texas Opportunities, Inc.</t>
  </si>
  <si>
    <t xml:space="preserve">Lamesa</t>
  </si>
  <si>
    <t xml:space="preserve">+18068728354</t>
  </si>
  <si>
    <t xml:space="preserve">Andrews; Borden; Dawson; Ector; Fisher; Gaines; Glasscock; Howard; Loving; Martin; Midland; Mitchell; Nolan; Reeves; Scurry; Upton; Ward; Winkler</t>
  </si>
  <si>
    <t xml:space="preserve">79331 79342 79351 79359 79360 79377 79506 79511 79512 79517 79526 79527 79532 79534 79535 79537 79543 79545 79546 79549 79556 79560 79561 79565 79701 79702 79703 79704 79705 79706 79707 79708 79710 79712 79713 79714 79718 79719 79720 79733 79738 79739 79741 79742 79745 79748 79749 79752 79755 79756 79758 79759 79760 79761 79762 79763 79764 79765 79766 79768 79769 79770 79772 79777 79778 79782 79783 79785 79789</t>
  </si>
  <si>
    <t xml:space="preserve">Panhandle Community Services</t>
  </si>
  <si>
    <t xml:space="preserve">Amarillo</t>
  </si>
  <si>
    <t xml:space="preserve">+18063722531</t>
  </si>
  <si>
    <t xml:space="preserve">Armstrong; Briscoe; Carson; Castro; Childress; Collingsworth; Dallam; Deaf Smith; Donley; Gray; Hall; Hansford; Hartley; Hemphill; Hutchinson; Lipscomb; Moore; Ochiltree; Oldham; Parmer; Potter; Randall; Roberts; Sherman; Swisher; Wheeler</t>
  </si>
  <si>
    <t xml:space="preserve">73960 79001 79002 79003 79005 79007 79008 79009 79010 79011 79012 79013 79014 79015 79018 79019 79022 79024 79027 79029 79033 79034 79035 79036 79039 79040 79042 79043 79044 79045 79046 79051 79052 79056 79057 79058 79059 79061 79062 79063 79065 79066 79068 79070 79078 79079 79080 79081 79083 79084 79085 79086 79087 79088 79091 79092 79093 79094 79095 79096 79097 79098 79101 79102 79103 79104 79105 79106 79107 79108 79109 79110 79111 79114 79116 79117 79118 79119 79120 79121 79124 79159 79201 79226 79230 79237 79239 79240 79245 79251 79255 79257 79259 79261 79325 79347</t>
  </si>
  <si>
    <t xml:space="preserve">South Plains Community Action Association, Inc.</t>
  </si>
  <si>
    <t xml:space="preserve">Levelland</t>
  </si>
  <si>
    <t xml:space="preserve">+18068946104</t>
  </si>
  <si>
    <t xml:space="preserve">Bailey; Cochran; Crosby; Dickens; Floyd; Garza; Hale; Hockley; King; Lamb; Lubbock; Lynn; Motley; Terry; Yoakum</t>
  </si>
  <si>
    <t xml:space="preserve">79031 79032 79041 79043 79064 79072 79073 79082 79220 79221 79229 79234 79235 79236 79241 79243 79244 79248 79250 79255 79256 79258 79311 79312 79313 79314 79316 79322 79323 79324 79326 79329 79330 79336 79339 79343 79344 79345 79346 79347 79350 79351 79353 79355 79356 79357 79358 79359 79363 79364 79366 79367 79370 79371 79372 79373 79376 79381 79382 79401 79403 79404 79407 79408 79409 79410 79411 79412 79413 79414 79415 79416 79423 79424 79452 79453 79464 79490 79493 79499</t>
  </si>
  <si>
    <t xml:space="preserve">Southeast Texas Regional Planning Commission</t>
  </si>
  <si>
    <t xml:space="preserve">Beaumont</t>
  </si>
  <si>
    <t xml:space="preserve">+14098998444</t>
  </si>
  <si>
    <t xml:space="preserve">CEAP</t>
  </si>
  <si>
    <t xml:space="preserve">electric_bill, gas_bill, reconnect_fee, utility_deposit</t>
  </si>
  <si>
    <t xml:space="preserve">Hardin; Jefferson; Orange</t>
  </si>
  <si>
    <t xml:space="preserve">77376 77519 77564 77585 77611 77613 77619 77622 77625 77627 77629 77630 77631 77632 77639 77640 77641 77642 77643 77651 77655 77656 77657 77659 77662 77663 77665 77670 77701 77702 77703 77704 77705 77706 77707 77708 77713 77720 77725 77726</t>
  </si>
  <si>
    <t xml:space="preserve">Catholic Charities — Beacon of Hope Center</t>
  </si>
  <si>
    <t xml:space="preserve">Galveston</t>
  </si>
  <si>
    <t xml:space="preserve">4700 Broadway, Suite B-101</t>
  </si>
  <si>
    <t xml:space="preserve">+14097622064</t>
  </si>
  <si>
    <t xml:space="preserve">Galveston County Food Bank</t>
  </si>
  <si>
    <t xml:space="preserve">Texas City</t>
  </si>
  <si>
    <t xml:space="preserve">624 4th Avenue N.</t>
  </si>
  <si>
    <t xml:space="preserve">Nueces County Community Action Agency</t>
  </si>
  <si>
    <t xml:space="preserve">Corpus Christi</t>
  </si>
  <si>
    <t xml:space="preserve">+13618837201</t>
  </si>
  <si>
    <t xml:space="preserve">Nueces</t>
  </si>
  <si>
    <t xml:space="preserve">78330 78339 78343 78351 78373 78380 78383 78401 78402 78403 78404 78405 78406 78407 78408 78409 78410 78411 78412 78413 78414 78415 78416 78417 78418 78419 78426 78427 78460 78463 78465 78466 78467 78468 78469 78480</t>
  </si>
  <si>
    <t xml:space="preserve">Tri-County Community Action, Inc.</t>
  </si>
  <si>
    <t xml:space="preserve">Center</t>
  </si>
  <si>
    <t xml:space="preserve">+19365986315</t>
  </si>
  <si>
    <t xml:space="preserve">Harrison; Jasper; Newton; Panola; Sabine; San Augustine; Shelby; Tyler; Upshur</t>
  </si>
  <si>
    <t xml:space="preserve">75601 75602 75605 75631 75633 75639 75640 75642 75643 75644 75645 75647 75650 75651 75661 75669 75670 75671 75672 75683 75686 75688 75691 75692 75755 75928 75929 75930 75931 75932 75933 75935 75936 75938 75942 75948 75951 75954 75956 75959 75966 75968 75972 75973 75974 75975 75977 75979 77612 77616 77624 77632 77660 77663 77664</t>
  </si>
  <si>
    <t xml:space="preserve">Community Services of Northeast Texas, Inc.</t>
  </si>
  <si>
    <t xml:space="preserve">Linden</t>
  </si>
  <si>
    <t xml:space="preserve">+19037565596</t>
  </si>
  <si>
    <t xml:space="preserve">Bowie; Camp; Cass; Delta; Franklin; Hopkins; Lamar; Marion; Morris; Rains; Red River; Titus</t>
  </si>
  <si>
    <t xml:space="preserve">75410 75411 75412 75415 75416 75417 75420 75421 75426 75431 75432 75433 75435 75436 75437 75440 75441 75446 75448 75450 75451 75453 75455 75456 75457 75460 75461 75462 75468 75469 75470 75471 75472 75473 75477 75478 75480 75481 75482 75483 75486 75487 75494 75497 75501 75503 75504 75505 75550 75551 75554 75555 75556 75558 75559 75560 75561 75562 75563 75564 75566 75567 75568 75569 75570 75571 75572 75574 75630 75638 75656 75657 75668 75683 75686</t>
  </si>
  <si>
    <t xml:space="preserve">Community Action Inc. of Central Texas</t>
  </si>
  <si>
    <t xml:space="preserve">San Marcos</t>
  </si>
  <si>
    <t xml:space="preserve">+15123921161</t>
  </si>
  <si>
    <t xml:space="preserve">Blanco; Caldwell; Hays</t>
  </si>
  <si>
    <t xml:space="preserve">78606 78610 78616 78619 78620 78632 78635 78636 78640 78644 78648 78652 78655 78656 78661 78662 78663 78666 78667 78676 78737 78953</t>
  </si>
  <si>
    <t xml:space="preserve">Guadalupe Economic Services Corporation</t>
  </si>
  <si>
    <t xml:space="preserve">Lubbock</t>
  </si>
  <si>
    <t xml:space="preserve">+18067444416</t>
  </si>
  <si>
    <t xml:space="preserve">WAP</t>
  </si>
  <si>
    <t xml:space="preserve">home_repair, hvac_repair, weatherization</t>
  </si>
  <si>
    <t xml:space="preserve">79311 79329 79343 79350 79358 79363 79364 79366 79382 79401 79403 79404 79407 79408 79409 79410 79411 79412 79413 79414 79415 79416 79423 79424 79452 79453 79464 79490 79493 79499</t>
  </si>
  <si>
    <t xml:space="preserve">Lubbock, City of, Community Development Department</t>
  </si>
  <si>
    <t xml:space="preserve">+18067752296</t>
  </si>
  <si>
    <t xml:space="preserve">Webb County Community Action Agency</t>
  </si>
  <si>
    <t xml:space="preserve">Laredo</t>
  </si>
  <si>
    <t xml:space="preserve">+19565234222</t>
  </si>
  <si>
    <t xml:space="preserve">Webb</t>
  </si>
  <si>
    <t xml:space="preserve">78019 78040 78041 78042 78043 78044 78045 78046 78344 78369 78371</t>
  </si>
  <si>
    <t xml:space="preserve">Concho Valley Community Action Agency</t>
  </si>
  <si>
    <t xml:space="preserve">San Angelo</t>
  </si>
  <si>
    <t xml:space="preserve">+13256532411</t>
  </si>
  <si>
    <t xml:space="preserve">Coke; Coleman; Concho; Crockett; Irion; Kimble; McCulloch; Menard; Reagan; Runnels; Schleicher; Sterling; Sutton; Tom Green</t>
  </si>
  <si>
    <t xml:space="preserve">76821 76825 76828 76834 76836 76837 76841 76845 76848 76849 76852 76854 76858 76859 76861 76862 76865 76866 76871 76872 76873 76874 76875 76878 76882 76883 76884 76886 76887 76888 76901 76902 76903 76904 76905 76906 76908 76909 76930 76932 76933 76934 76935 76936 76937 76939 76940 76941 76943 76945 76950 76951 76955 76957 76958 79506 79519 79538 79566 79567 79739</t>
  </si>
  <si>
    <t xml:space="preserve">Cornerstone Community Action Agency</t>
  </si>
  <si>
    <t xml:space="preserve">Coleman</t>
  </si>
  <si>
    <t xml:space="preserve">+13256254167</t>
  </si>
  <si>
    <t xml:space="preserve">Brown; Callahan; Coleman; Comanche; Eastland; McCulloch; Runnels</t>
  </si>
  <si>
    <t xml:space="preserve">76432 76435 76436 76437 76442 76443 76444 76445 76446 76448 76454 76455 76464 76468 76470 76471 76474 76801 76802 76803 76804 76821 76823 76825 76827 76828 76834 76836 76845 76852 76857 76858 76861 76865 76871 76872 76873 76875 76878 76882 76884 76887 76888 76890 76933 79504 79510 79519 79538 79566 79567</t>
  </si>
  <si>
    <t xml:space="preserve">South Texas Development Council</t>
  </si>
  <si>
    <t xml:space="preserve">+19567223995</t>
  </si>
  <si>
    <t xml:space="preserve">Jim Hogg; Starr; Zapata</t>
  </si>
  <si>
    <t xml:space="preserve">78067 78076 78360 78361 78536 78545 78547 78548 78564 78582 78584 78588 78591</t>
  </si>
  <si>
    <t xml:space="preserve">Economic Action Committee of the Gulf Coast</t>
  </si>
  <si>
    <t xml:space="preserve">Bay City</t>
  </si>
  <si>
    <t xml:space="preserve">+19792456901</t>
  </si>
  <si>
    <t xml:space="preserve">Matagorda; Wharton</t>
  </si>
  <si>
    <t xml:space="preserve">77404 77414 77419 77420 77428 77434 77435 77437 77448 77453 77454 77455 77457 77458 77465 77467 77468 77482 77488</t>
  </si>
  <si>
    <t xml:space="preserve">Aspermont Small Business Development Center, Inc.</t>
  </si>
  <si>
    <t xml:space="preserve">Aspermont</t>
  </si>
  <si>
    <t xml:space="preserve">+19409893538</t>
  </si>
  <si>
    <t xml:space="preserve">Haskell; Jones; Kent; Knox; Stonewall; Throckmorton</t>
  </si>
  <si>
    <t xml:space="preserve">76363 76371 76372 76388 76483 76491 79227 79501 79502 79503 79505 79518 79520 79521 79525 79528 79529 79533 79536 79539 79540 79544 79547 79548 79553 79560 79561 79601</t>
  </si>
  <si>
    <t xml:space="preserve">Community Action Social Services &amp; Education</t>
  </si>
  <si>
    <t xml:space="preserve">Eagle Pass</t>
  </si>
  <si>
    <t xml:space="preserve">+18307737274</t>
  </si>
  <si>
    <t xml:space="preserve">Maverick</t>
  </si>
  <si>
    <t xml:space="preserve">78852 78853 78860 78877</t>
  </si>
  <si>
    <t xml:space="preserve">Kleberg County Human Services</t>
  </si>
  <si>
    <t xml:space="preserve">Kingsville</t>
  </si>
  <si>
    <t xml:space="preserve">+13615958572</t>
  </si>
  <si>
    <t xml:space="preserve">Kenedy; Kleberg</t>
  </si>
  <si>
    <t xml:space="preserve">78338 78363 78379 78385</t>
  </si>
  <si>
    <t xml:space="preserve">Pecos County Community Action Agency</t>
  </si>
  <si>
    <t xml:space="preserve">Fort Stockton</t>
  </si>
  <si>
    <t xml:space="preserve">+14323367526</t>
  </si>
  <si>
    <t xml:space="preserve">Crane; Pecos; Terrell</t>
  </si>
  <si>
    <t xml:space="preserve">78851 79730 79731 79735 79740 79743 79744 79781 79848</t>
  </si>
  <si>
    <t xml:space="preserve">How to use this sheet</t>
  </si>
  <si>
    <t xml:space="preserve">Start with WEEK 1</t>
  </si>
  <si>
    <t xml:space="preserve">16 organizations flagged in column A. They are the CEAP providers serving the ten launch counties, and between them they cover 68 counties — 74% of the state. Filter column A to WEEK 1 and work that set first.</t>
  </si>
  <si>
    <t xml:space="preserve">One row = one call</t>
  </si>
  <si>
    <t xml:space="preserve">An organization runs several programs (CEAP, CSBG, WAP). One call covers all of them. The Programs column says which apply.</t>
  </si>
  <si>
    <t xml:space="preserve">Counties vs ZIPs</t>
  </si>
  <si>
    <t xml:space="preserve">Counties are what the source declared. ZIP codes are the crosswalk expansion and are what the site actually searches on — HUD residential-share data, marginal slivers under 5% dropped. If an agency tells you their service area is different from what is listed, say so in Note; that correction is worth more than any other field on the row.</t>
  </si>
  <si>
    <t xml:space="preserve">Which cells to edit</t>
  </si>
  <si>
    <t xml:space="preserve">Only the YELLOW columns, from Status rightward. Navy columns are call context — leave them alone; they are how the row matches back to the database.</t>
  </si>
  <si>
    <t xml:space="preserve">Service area is gating</t>
  </si>
  <si>
    <t xml:space="preserve">A program does NOT publish on status alone. "Which ZIP codes do you actually cover?" is the second required question — the county list on this row is a crosswalk guess, and it is wrong: it gives every Harris agency 130 ZIPs when some serve five. Write what they say, verbatim, even if it is a neighbourhood name rather than ZIPs.</t>
  </si>
  <si>
    <t xml:space="preserve">Blank beats guessed</t>
  </si>
  <si>
    <t xml:space="preserve">If it was not said, leave it empty and put the reason in Note ("refused", "did not know", "ran out of time"). A guessed field poisons the freshness claim, which is the whole product. VAs are measured on accuracy, never on how many cells are full.</t>
  </si>
  <si>
    <t xml:space="preserve">Verify the row first</t>
  </si>
  <si>
    <t xml:space="preserve">Every row came from a model reading a PDF. Before trusting the name or counties, confirm the phone actually reaches that organization. If it does not, set Call outcome to wrong_number and stop.</t>
  </si>
  <si>
    <t xml:space="preserve">Three attempts</t>
  </si>
  <si>
    <t xml:space="preserve">Different days, different times. Log every attempt including voicemail and no-answer. Then leave it — an honest "we could not reach them" beats a stale green.</t>
  </si>
  <si>
    <t xml:space="preserve">THE CALL</t>
  </si>
  <si>
    <t xml:space="preserve"> </t>
  </si>
  <si>
    <t xml:space="preserve">1 · Open</t>
  </si>
  <si>
    <t xml:space="preserve">"Hi, this is [name] — I am calling from CornerHelp, we are the site that lists which programs are taking applications. We send people to you. I have about two minutes of questions so we are not sending you folks you cannot help. Is now alright, or should I call back?"</t>
  </si>
  <si>
    <t xml:space="preserve">2 · Status</t>
  </si>
  <si>
    <t xml:space="preserve">"How far into the month is the funding usually lasting right now?" — never a yes/no question. Captures Status, Funding lasts until, Reopens on.</t>
  </si>
  <si>
    <t xml:space="preserve">3 · Practicals</t>
  </si>
  <si>
    <t xml:space="preserve">Read the prefilled facts back as statements: "I have you as walk-in, Monday to Thursday, doors at eight, capping around 40 a day. Still right?" Captures How to apply, Hours, Daily cap, Documents required.</t>
  </si>
  <si>
    <t xml:space="preserve">4 · The money question</t>
  </si>
  <si>
    <t xml:space="preserve">"What is the most common reason somebody gets turned away here?" Record it VERBATIM, in their words. Highest-value field on the sheet and no competitor can scrape it.</t>
  </si>
  <si>
    <t xml:space="preserve">5 · Read back</t>
  </si>
  <si>
    <t xml:space="preserve">Say the record back out loud, then: "I will put today's date on it so people know it is current. If anything changes, there is a link on your listing to update it yourself."</t>
  </si>
  <si>
    <t xml:space="preserve">NEVER</t>
  </si>
  <si>
    <t xml:space="preserve">Do not say</t>
  </si>
  <si>
    <t xml:space="preserve">Partner. Work with. Affiliated with. On behalf of. We are with the state. Calling for a client.</t>
  </si>
  <si>
    <t xml:space="preserve">Do not do</t>
  </si>
  <si>
    <t xml:space="preserve">Claim a partnership or referral agreement · ask for client names or case data · offer anything of value for information · promise traffic or leads · negotiate placement · argue with a removal request. Any of these is a same-day retrain.</t>
  </si>
  <si>
    <t xml:space="preserve">Removal request</t>
  </si>
  <si>
    <t xml:space="preserve">Honor it same day, no second ask. Log it. That is the reputation the whole operation runs on.</t>
  </si>
  <si>
    <t xml:space="preserve">EXAMPLE ROW</t>
  </si>
  <si>
    <t xml:space="preserve">A worked example of the expected format. It lives here, not on the Master List, so it can never be mistaken for data and imported as a real listing.</t>
  </si>
  <si>
    <t xml:space="preserve">accepting</t>
  </si>
  <si>
    <t xml:space="preserve">around the 8th–10th</t>
  </si>
  <si>
    <t xml:space="preserve">2026-10-01</t>
  </si>
  <si>
    <t xml:space="preserve">walk_in</t>
  </si>
  <si>
    <t xml:space="preserve">Mon–Thu, doors at 8:00</t>
  </si>
  <si>
    <t xml:space="preserve">40</t>
  </si>
  <si>
    <t xml:space="preserve">photo ID; SSN cards all household members; current electric bill; 30 days income all adults</t>
  </si>
  <si>
    <t xml:space="preserve">"People come in without the income for everybody in the house"</t>
  </si>
  <si>
    <t xml:space="preserve">77042, 77057, 77063, 77077, 77082</t>
  </si>
  <si>
    <t xml:space="preserve">new intake system starting November</t>
  </si>
  <si>
    <t xml:space="preserve">Denise, intake</t>
  </si>
  <si>
    <t xml:space="preserve">reached</t>
  </si>
  <si>
    <t xml:space="preserve">2026-09-03</t>
  </si>
  <si>
    <t xml:space="preserve">JM</t>
  </si>
  <si>
    <t xml:space="preserve">PROGRESS</t>
  </si>
  <si>
    <t xml:space="preserve">Calls logged</t>
  </si>
  <si>
    <t xml:space="preserve">Reached</t>
  </si>
  <si>
    <t xml:space="preserve">Currently accepting</t>
  </si>
  <si>
    <t xml:space="preserve">Reach rate</t>
  </si>
  <si>
    <t xml:space="preserve">This is the number the staffing model is guessing at (it assumes 60%). Measure it here.</t>
  </si>
</sst>
</file>

<file path=xl/styles.xml><?xml version="1.0" encoding="utf-8"?>
<styleSheet xmlns="http://schemas.openxmlformats.org/spreadsheetml/2006/main">
  <numFmts count="3">
    <numFmt numFmtId="164" formatCode="General"/>
    <numFmt numFmtId="165" formatCode="#,##0"/>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9"/>
      <color rgb="FF6B78A0"/>
      <name val="Arial"/>
      <family val="0"/>
      <charset val="1"/>
    </font>
    <font>
      <b val="true"/>
      <sz val="9"/>
      <color rgb="FF8A6D1F"/>
      <name val="Arial"/>
      <family val="0"/>
      <charset val="1"/>
    </font>
    <font>
      <b val="true"/>
      <sz val="10"/>
      <color rgb="FFFFFFFF"/>
      <name val="Arial"/>
      <family val="0"/>
      <charset val="1"/>
    </font>
    <font>
      <b val="true"/>
      <sz val="10"/>
      <color rgb="FFC41F4E"/>
      <name val="Arial"/>
      <family val="0"/>
      <charset val="1"/>
    </font>
    <font>
      <sz val="10"/>
      <color rgb="FF000000"/>
      <name val="Arial"/>
      <family val="0"/>
      <charset val="1"/>
    </font>
    <font>
      <b val="true"/>
      <sz val="10"/>
      <color rgb="FF1C2B5E"/>
      <name val="Arial"/>
      <family val="0"/>
      <charset val="1"/>
    </font>
    <font>
      <sz val="10"/>
      <color rgb="FF1C2B5E"/>
      <name val="Arial"/>
      <family val="0"/>
      <charset val="1"/>
    </font>
    <font>
      <sz val="9"/>
      <color rgb="FF6B78A0"/>
      <name val="Arial"/>
      <family val="0"/>
      <charset val="1"/>
    </font>
    <font>
      <sz val="9"/>
      <name val="Arial"/>
      <family val="0"/>
      <charset val="1"/>
    </font>
    <font>
      <sz val="10"/>
      <name val="Arial"/>
      <family val="0"/>
      <charset val="1"/>
    </font>
    <font>
      <b val="true"/>
      <sz val="10"/>
      <name val="Arial"/>
      <family val="0"/>
      <charset val="1"/>
    </font>
    <font>
      <i val="true"/>
      <sz val="9"/>
      <color rgb="FF6B78A0"/>
      <name val="Arial"/>
      <family val="0"/>
      <charset val="1"/>
    </font>
  </fonts>
  <fills count="7">
    <fill>
      <patternFill patternType="none"/>
    </fill>
    <fill>
      <patternFill patternType="gray125"/>
    </fill>
    <fill>
      <patternFill patternType="solid">
        <fgColor rgb="FF1C2B5E"/>
        <bgColor rgb="FF333333"/>
      </patternFill>
    </fill>
    <fill>
      <patternFill patternType="solid">
        <fgColor rgb="FFF5F6FA"/>
        <bgColor rgb="FFF1F4FC"/>
      </patternFill>
    </fill>
    <fill>
      <patternFill patternType="solid">
        <fgColor rgb="FFFFF9D9"/>
        <bgColor rgb="FFF5F6FA"/>
      </patternFill>
    </fill>
    <fill>
      <patternFill patternType="solid">
        <fgColor rgb="FFC41F4E"/>
        <bgColor rgb="FF993366"/>
      </patternFill>
    </fill>
    <fill>
      <patternFill patternType="solid">
        <fgColor rgb="FFF1F4FC"/>
        <bgColor rgb="FFF5F6FA"/>
      </patternFill>
    </fill>
  </fills>
  <borders count="2">
    <border diagonalUp="false" diagonalDown="false">
      <left/>
      <right/>
      <top/>
      <bottom/>
      <diagonal/>
    </border>
    <border diagonalUp="false" diagonalDown="false">
      <left style="thin">
        <color rgb="FFDFE4F2"/>
      </left>
      <right style="thin">
        <color rgb="FFDFE4F2"/>
      </right>
      <top style="thin">
        <color rgb="FFDFE4F2"/>
      </top>
      <bottom style="thin">
        <color rgb="FFDFE4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5" fontId="9" fillId="6"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9" fillId="6"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C2B5E"/>
          <bgColor rgb="FF000000"/>
        </patternFill>
      </fill>
    </dxf>
    <dxf>
      <fill>
        <patternFill patternType="solid">
          <fgColor rgb="FFF1F4FC"/>
          <bgColor rgb="FF000000"/>
        </patternFill>
      </fill>
    </dxf>
    <dxf>
      <fill>
        <patternFill patternType="solid">
          <bgColor rgb="FF000000"/>
        </patternFill>
      </fill>
    </dxf>
    <dxf>
      <fill>
        <patternFill patternType="solid">
          <fgColor rgb="FF000000"/>
          <bgColor rgb="FF000000"/>
        </patternFill>
      </fill>
    </dxf>
    <dxf>
      <fill>
        <patternFill patternType="solid">
          <fgColor rgb="FFC41F4E"/>
          <bgColor rgb="FF000000"/>
        </patternFill>
      </fill>
    </dxf>
    <dxf>
      <fill>
        <patternFill patternType="solid">
          <fgColor rgb="FFFFFFFF"/>
          <bgColor rgb="FF000000"/>
        </patternFill>
      </fill>
    </dxf>
    <dxf>
      <fill>
        <patternFill patternType="solid">
          <fgColor rgb="FFFFF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D1F"/>
      <rgbColor rgb="FF800080"/>
      <rgbColor rgb="FF008080"/>
      <rgbColor rgb="FFC0C0C0"/>
      <rgbColor rgb="FF808080"/>
      <rgbColor rgb="FF9999FF"/>
      <rgbColor rgb="FFC41F4E"/>
      <rgbColor rgb="FFFFF9D9"/>
      <rgbColor rgb="FFF1F4FC"/>
      <rgbColor rgb="FF660066"/>
      <rgbColor rgb="FFFF8080"/>
      <rgbColor rgb="FF0066CC"/>
      <rgbColor rgb="FFDFE4F2"/>
      <rgbColor rgb="FF000080"/>
      <rgbColor rgb="FFFF00FF"/>
      <rgbColor rgb="FFFFFF00"/>
      <rgbColor rgb="FF00FFFF"/>
      <rgbColor rgb="FF800080"/>
      <rgbColor rgb="FF800000"/>
      <rgbColor rgb="FF008080"/>
      <rgbColor rgb="FF0000FF"/>
      <rgbColor rgb="FF00CCFF"/>
      <rgbColor rgb="FFF5F6FA"/>
      <rgbColor rgb="FFCCFFCC"/>
      <rgbColor rgb="FFFFFF99"/>
      <rgbColor rgb="FF99CCFF"/>
      <rgbColor rgb="FFFF99CC"/>
      <rgbColor rgb="FFCC99FF"/>
      <rgbColor rgb="FFFFCC99"/>
      <rgbColor rgb="FF3366FF"/>
      <rgbColor rgb="FF33CCCC"/>
      <rgbColor rgb="FF99CC00"/>
      <rgbColor rgb="FFFFCC00"/>
      <rgbColor rgb="FFFF9900"/>
      <rgbColor rgb="FFFF6600"/>
      <rgbColor rgb="FF6B78A0"/>
      <rgbColor rgb="FF969696"/>
      <rgbColor rgb="FF1C2B5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3" min="3" style="0" width="40"/>
    <col collapsed="false" customWidth="true" hidden="false" outlineLevel="0" max="4" min="4" style="0" width="14"/>
    <col collapsed="false" customWidth="true" hidden="false" outlineLevel="0" max="5" min="5" style="0" width="30"/>
    <col collapsed="false" customWidth="true" hidden="false" outlineLevel="0" max="6" min="6" style="0" width="15"/>
    <col collapsed="false" customWidth="true" hidden="false" outlineLevel="0" max="7" min="7" style="0" width="17"/>
    <col collapsed="false" customWidth="true" hidden="false" outlineLevel="0" max="8" min="8" style="0" width="36"/>
    <col collapsed="false" customWidth="true" hidden="false" outlineLevel="0" max="9" min="9" style="0" width="9"/>
    <col collapsed="false" customWidth="true" hidden="false" outlineLevel="0" max="10" min="10" style="0" width="8"/>
    <col collapsed="false" customWidth="true" hidden="false" outlineLevel="0" max="11" min="11" style="0" width="13"/>
    <col collapsed="false" customWidth="true" hidden="false" outlineLevel="0" max="13" min="12" style="0" width="55"/>
    <col collapsed="false" customWidth="true" hidden="false" outlineLevel="0" max="14" min="14" style="0" width="34"/>
    <col collapsed="false" customWidth="true" hidden="false" outlineLevel="0" max="15" min="15" style="0" width="18"/>
    <col collapsed="false" customWidth="true" hidden="false" outlineLevel="0" max="16" min="16" style="0" width="30"/>
    <col collapsed="false" customWidth="true" hidden="false" outlineLevel="0" max="17" min="17" style="0" width="21"/>
    <col collapsed="false" customWidth="true" hidden="false" outlineLevel="0" max="18" min="18" style="0" width="13"/>
    <col collapsed="false" customWidth="true" hidden="false" outlineLevel="0" max="19" min="19" style="0" width="14"/>
    <col collapsed="false" customWidth="true" hidden="false" outlineLevel="0" max="20" min="20" style="0" width="24"/>
    <col collapsed="false" customWidth="true" hidden="false" outlineLevel="0" max="21" min="21" style="0" width="10"/>
    <col collapsed="false" customWidth="true" hidden="false" outlineLevel="0" max="22" min="22" style="0" width="38"/>
    <col collapsed="false" customWidth="true" hidden="false" outlineLevel="0" max="23" min="23" style="0" width="44"/>
    <col collapsed="false" customWidth="true" hidden="false" outlineLevel="0" max="24" min="24" style="0" width="28"/>
    <col collapsed="false" customWidth="true" hidden="false" outlineLevel="0" max="25" min="25" style="0" width="17"/>
    <col collapsed="false" customWidth="true" hidden="false" outlineLevel="0" max="26" min="26" style="0" width="16"/>
    <col collapsed="false" customWidth="true" hidden="false" outlineLevel="0" max="27" min="27" style="0" width="36"/>
    <col collapsed="false" customWidth="true" hidden="false" outlineLevel="0" max="28" min="28" style="0" width="13"/>
    <col collapsed="false" customWidth="true" hidden="false" outlineLevel="0" max="29" min="29" style="0" width="11"/>
  </cols>
  <sheetData>
    <row r="1" customFormat="false" ht="25.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row>
    <row r="2" customFormat="false" ht="15" hidden="false" customHeight="false" outlineLevel="0" collapsed="false">
      <c r="A2" s="2" t="s">
        <v>1</v>
      </c>
      <c r="B2" s="2"/>
      <c r="C2" s="2"/>
      <c r="D2" s="2"/>
      <c r="E2" s="2"/>
      <c r="F2" s="2"/>
      <c r="G2" s="2"/>
      <c r="H2" s="2"/>
      <c r="I2" s="2"/>
      <c r="J2" s="2"/>
      <c r="K2" s="2"/>
      <c r="L2" s="2"/>
      <c r="M2" s="2"/>
      <c r="N2" s="2"/>
      <c r="O2" s="3" t="s">
        <v>2</v>
      </c>
      <c r="P2" s="3"/>
      <c r="Q2" s="3"/>
      <c r="R2" s="3"/>
      <c r="S2" s="3"/>
      <c r="T2" s="3"/>
      <c r="U2" s="3"/>
      <c r="V2" s="3"/>
      <c r="W2" s="3"/>
      <c r="X2" s="3"/>
      <c r="Y2" s="3"/>
      <c r="Z2" s="3"/>
      <c r="AA2" s="3"/>
      <c r="AB2" s="3"/>
      <c r="AC2" s="3"/>
    </row>
    <row r="3" customFormat="false" ht="33.75" hidden="false" customHeight="true" outlineLevel="0" collapsed="false">
      <c r="A3" s="4" t="s">
        <v>3</v>
      </c>
      <c r="B3" s="4" t="s">
        <v>4</v>
      </c>
      <c r="C3" s="4" t="s">
        <v>5</v>
      </c>
      <c r="D3" s="4" t="s">
        <v>6</v>
      </c>
      <c r="E3" s="4" t="s">
        <v>7</v>
      </c>
      <c r="F3" s="4" t="s">
        <v>8</v>
      </c>
      <c r="G3" s="4" t="s">
        <v>9</v>
      </c>
      <c r="H3" s="4" t="s">
        <v>10</v>
      </c>
      <c r="I3" s="4" t="s">
        <v>11</v>
      </c>
      <c r="J3" s="4" t="s">
        <v>12</v>
      </c>
      <c r="K3" s="4" t="s">
        <v>13</v>
      </c>
      <c r="L3" s="4" t="s">
        <v>14</v>
      </c>
      <c r="M3" s="4" t="s">
        <v>15</v>
      </c>
      <c r="N3" s="4" t="s">
        <v>16</v>
      </c>
      <c r="O3" s="5" t="s">
        <v>17</v>
      </c>
      <c r="P3" s="5" t="s">
        <v>18</v>
      </c>
      <c r="Q3" s="5" t="s">
        <v>19</v>
      </c>
      <c r="R3" s="5" t="s">
        <v>20</v>
      </c>
      <c r="S3" s="5" t="s">
        <v>21</v>
      </c>
      <c r="T3" s="5" t="s">
        <v>22</v>
      </c>
      <c r="U3" s="5" t="s">
        <v>23</v>
      </c>
      <c r="V3" s="5" t="s">
        <v>24</v>
      </c>
      <c r="W3" s="5" t="s">
        <v>25</v>
      </c>
      <c r="X3" s="5" t="s">
        <v>26</v>
      </c>
      <c r="Y3" s="5" t="s">
        <v>27</v>
      </c>
      <c r="Z3" s="5" t="s">
        <v>28</v>
      </c>
      <c r="AA3" s="5" t="s">
        <v>29</v>
      </c>
      <c r="AB3" s="5" t="s">
        <v>30</v>
      </c>
      <c r="AC3" s="5" t="s">
        <v>31</v>
      </c>
    </row>
    <row r="4" customFormat="false" ht="30" hidden="false" customHeight="true" outlineLevel="0" collapsed="false">
      <c r="A4" s="6" t="s">
        <v>3</v>
      </c>
      <c r="B4" s="7" t="n">
        <v>1</v>
      </c>
      <c r="C4" s="8" t="s">
        <v>32</v>
      </c>
      <c r="D4" s="7" t="s">
        <v>33</v>
      </c>
      <c r="E4" s="8"/>
      <c r="F4" s="7" t="s">
        <v>34</v>
      </c>
      <c r="G4" s="7" t="s">
        <v>35</v>
      </c>
      <c r="H4" s="8" t="s">
        <v>36</v>
      </c>
      <c r="I4" s="7" t="n">
        <v>3</v>
      </c>
      <c r="J4" s="7" t="n">
        <v>263</v>
      </c>
      <c r="K4" s="9" t="n">
        <v>5745696</v>
      </c>
      <c r="L4" s="8" t="s">
        <v>37</v>
      </c>
      <c r="M4" s="8" t="s">
        <v>38</v>
      </c>
      <c r="N4" s="8" t="s">
        <v>39</v>
      </c>
      <c r="O4" s="10"/>
      <c r="P4" s="10"/>
      <c r="Q4" s="10"/>
      <c r="R4" s="10"/>
      <c r="S4" s="10"/>
      <c r="T4" s="10"/>
      <c r="U4" s="10"/>
      <c r="V4" s="10"/>
      <c r="W4" s="10"/>
      <c r="X4" s="10"/>
      <c r="Y4" s="10"/>
      <c r="Z4" s="10"/>
      <c r="AA4" s="10"/>
      <c r="AB4" s="10"/>
      <c r="AC4" s="10"/>
    </row>
    <row r="5" customFormat="false" ht="30" hidden="false" customHeight="true" outlineLevel="0" collapsed="false">
      <c r="A5" s="11" t="s">
        <v>3</v>
      </c>
      <c r="B5" s="12" t="n">
        <v>2</v>
      </c>
      <c r="C5" s="13" t="s">
        <v>40</v>
      </c>
      <c r="D5" s="12" t="s">
        <v>33</v>
      </c>
      <c r="E5" s="13"/>
      <c r="F5" s="12" t="s">
        <v>41</v>
      </c>
      <c r="G5" s="12" t="s">
        <v>35</v>
      </c>
      <c r="H5" s="13" t="s">
        <v>36</v>
      </c>
      <c r="I5" s="12" t="n">
        <v>3</v>
      </c>
      <c r="J5" s="12" t="n">
        <v>263</v>
      </c>
      <c r="K5" s="14" t="n">
        <v>5745696</v>
      </c>
      <c r="L5" s="13" t="s">
        <v>37</v>
      </c>
      <c r="M5" s="13" t="s">
        <v>38</v>
      </c>
      <c r="N5" s="13" t="s">
        <v>39</v>
      </c>
      <c r="O5" s="10"/>
      <c r="P5" s="10"/>
      <c r="Q5" s="10"/>
      <c r="R5" s="10"/>
      <c r="S5" s="10"/>
      <c r="T5" s="10"/>
      <c r="U5" s="10"/>
      <c r="V5" s="10"/>
      <c r="W5" s="10"/>
      <c r="X5" s="10"/>
      <c r="Y5" s="10"/>
      <c r="Z5" s="10"/>
      <c r="AA5" s="10"/>
      <c r="AB5" s="10"/>
      <c r="AC5" s="10"/>
    </row>
    <row r="6" customFormat="false" ht="30" hidden="false" customHeight="true" outlineLevel="0" collapsed="false">
      <c r="A6" s="15"/>
      <c r="B6" s="7" t="n">
        <v>3</v>
      </c>
      <c r="C6" s="8" t="s">
        <v>42</v>
      </c>
      <c r="D6" s="7" t="s">
        <v>33</v>
      </c>
      <c r="E6" s="8" t="s">
        <v>43</v>
      </c>
      <c r="F6" s="7"/>
      <c r="G6" s="7" t="s">
        <v>44</v>
      </c>
      <c r="H6" s="8" t="s">
        <v>45</v>
      </c>
      <c r="I6" s="7" t="n">
        <v>1</v>
      </c>
      <c r="J6" s="7" t="n">
        <v>0</v>
      </c>
      <c r="K6" s="9" t="n">
        <v>5009302</v>
      </c>
      <c r="L6" s="8" t="s">
        <v>46</v>
      </c>
      <c r="M6" s="8"/>
      <c r="N6" s="8" t="s">
        <v>47</v>
      </c>
      <c r="O6" s="10"/>
      <c r="P6" s="10"/>
      <c r="Q6" s="10"/>
      <c r="R6" s="10"/>
      <c r="S6" s="10"/>
      <c r="T6" s="10"/>
      <c r="U6" s="10"/>
      <c r="V6" s="10"/>
      <c r="W6" s="10"/>
      <c r="X6" s="10"/>
      <c r="Y6" s="10"/>
      <c r="Z6" s="10"/>
      <c r="AA6" s="10"/>
      <c r="AB6" s="10"/>
      <c r="AC6" s="10"/>
    </row>
    <row r="7" customFormat="false" ht="30" hidden="false" customHeight="true" outlineLevel="0" collapsed="false">
      <c r="A7" s="16"/>
      <c r="B7" s="12" t="n">
        <v>4</v>
      </c>
      <c r="C7" s="13" t="s">
        <v>48</v>
      </c>
      <c r="D7" s="12" t="s">
        <v>33</v>
      </c>
      <c r="E7" s="13" t="s">
        <v>49</v>
      </c>
      <c r="F7" s="12"/>
      <c r="G7" s="12" t="s">
        <v>44</v>
      </c>
      <c r="H7" s="13" t="s">
        <v>45</v>
      </c>
      <c r="I7" s="12" t="n">
        <v>1</v>
      </c>
      <c r="J7" s="12" t="n">
        <v>0</v>
      </c>
      <c r="K7" s="14" t="n">
        <v>5009302</v>
      </c>
      <c r="L7" s="13" t="s">
        <v>46</v>
      </c>
      <c r="M7" s="13"/>
      <c r="N7" s="13" t="s">
        <v>47</v>
      </c>
      <c r="O7" s="10"/>
      <c r="P7" s="10"/>
      <c r="Q7" s="10"/>
      <c r="R7" s="10"/>
      <c r="S7" s="10"/>
      <c r="T7" s="10"/>
      <c r="U7" s="10"/>
      <c r="V7" s="10"/>
      <c r="W7" s="10"/>
      <c r="X7" s="10"/>
      <c r="Y7" s="10"/>
      <c r="Z7" s="10"/>
      <c r="AA7" s="10"/>
      <c r="AB7" s="10"/>
      <c r="AC7" s="10"/>
    </row>
    <row r="8" customFormat="false" ht="30" hidden="false" customHeight="true" outlineLevel="0" collapsed="false">
      <c r="A8" s="15"/>
      <c r="B8" s="7" t="n">
        <v>5</v>
      </c>
      <c r="C8" s="8" t="s">
        <v>50</v>
      </c>
      <c r="D8" s="7" t="s">
        <v>33</v>
      </c>
      <c r="E8" s="8" t="s">
        <v>51</v>
      </c>
      <c r="F8" s="7"/>
      <c r="G8" s="7" t="s">
        <v>44</v>
      </c>
      <c r="H8" s="8" t="s">
        <v>45</v>
      </c>
      <c r="I8" s="7" t="n">
        <v>1</v>
      </c>
      <c r="J8" s="7" t="n">
        <v>0</v>
      </c>
      <c r="K8" s="9" t="n">
        <v>5009302</v>
      </c>
      <c r="L8" s="8" t="s">
        <v>46</v>
      </c>
      <c r="M8" s="8"/>
      <c r="N8" s="8" t="s">
        <v>47</v>
      </c>
      <c r="O8" s="10"/>
      <c r="P8" s="10"/>
      <c r="Q8" s="10"/>
      <c r="R8" s="10"/>
      <c r="S8" s="10"/>
      <c r="T8" s="10"/>
      <c r="U8" s="10"/>
      <c r="V8" s="10"/>
      <c r="W8" s="10"/>
      <c r="X8" s="10"/>
      <c r="Y8" s="10"/>
      <c r="Z8" s="10"/>
      <c r="AA8" s="10"/>
      <c r="AB8" s="10"/>
      <c r="AC8" s="10"/>
    </row>
    <row r="9" customFormat="false" ht="30" hidden="false" customHeight="true" outlineLevel="0" collapsed="false">
      <c r="A9" s="16"/>
      <c r="B9" s="12" t="n">
        <v>6</v>
      </c>
      <c r="C9" s="13" t="s">
        <v>52</v>
      </c>
      <c r="D9" s="12" t="s">
        <v>33</v>
      </c>
      <c r="E9" s="13" t="s">
        <v>53</v>
      </c>
      <c r="F9" s="12"/>
      <c r="G9" s="12" t="s">
        <v>44</v>
      </c>
      <c r="H9" s="13" t="s">
        <v>45</v>
      </c>
      <c r="I9" s="12" t="n">
        <v>1</v>
      </c>
      <c r="J9" s="12" t="n">
        <v>0</v>
      </c>
      <c r="K9" s="14" t="n">
        <v>5009302</v>
      </c>
      <c r="L9" s="13" t="s">
        <v>46</v>
      </c>
      <c r="M9" s="13"/>
      <c r="N9" s="13" t="s">
        <v>47</v>
      </c>
      <c r="O9" s="10"/>
      <c r="P9" s="10"/>
      <c r="Q9" s="10"/>
      <c r="R9" s="10"/>
      <c r="S9" s="10"/>
      <c r="T9" s="10"/>
      <c r="U9" s="10"/>
      <c r="V9" s="10"/>
      <c r="W9" s="10"/>
      <c r="X9" s="10"/>
      <c r="Y9" s="10"/>
      <c r="Z9" s="10"/>
      <c r="AA9" s="10"/>
      <c r="AB9" s="10"/>
      <c r="AC9" s="10"/>
    </row>
    <row r="10" customFormat="false" ht="30" hidden="false" customHeight="true" outlineLevel="0" collapsed="false">
      <c r="A10" s="15"/>
      <c r="B10" s="7" t="n">
        <v>7</v>
      </c>
      <c r="C10" s="8" t="s">
        <v>54</v>
      </c>
      <c r="D10" s="7" t="s">
        <v>55</v>
      </c>
      <c r="E10" s="8" t="s">
        <v>56</v>
      </c>
      <c r="F10" s="7"/>
      <c r="G10" s="7" t="s">
        <v>44</v>
      </c>
      <c r="H10" s="8" t="s">
        <v>45</v>
      </c>
      <c r="I10" s="7" t="n">
        <v>1</v>
      </c>
      <c r="J10" s="7" t="n">
        <v>0</v>
      </c>
      <c r="K10" s="9" t="n">
        <v>5009302</v>
      </c>
      <c r="L10" s="8" t="s">
        <v>46</v>
      </c>
      <c r="M10" s="8"/>
      <c r="N10" s="8" t="s">
        <v>47</v>
      </c>
      <c r="O10" s="10"/>
      <c r="P10" s="10"/>
      <c r="Q10" s="10"/>
      <c r="R10" s="10"/>
      <c r="S10" s="10"/>
      <c r="T10" s="10"/>
      <c r="U10" s="10"/>
      <c r="V10" s="10"/>
      <c r="W10" s="10"/>
      <c r="X10" s="10"/>
      <c r="Y10" s="10"/>
      <c r="Z10" s="10"/>
      <c r="AA10" s="10"/>
      <c r="AB10" s="10"/>
      <c r="AC10" s="10"/>
    </row>
    <row r="11" customFormat="false" ht="30" hidden="false" customHeight="true" outlineLevel="0" collapsed="false">
      <c r="A11" s="16"/>
      <c r="B11" s="12" t="n">
        <v>8</v>
      </c>
      <c r="C11" s="13" t="s">
        <v>57</v>
      </c>
      <c r="D11" s="12" t="s">
        <v>33</v>
      </c>
      <c r="E11" s="13" t="s">
        <v>58</v>
      </c>
      <c r="F11" s="12" t="s">
        <v>59</v>
      </c>
      <c r="G11" s="12" t="s">
        <v>44</v>
      </c>
      <c r="H11" s="13" t="s">
        <v>45</v>
      </c>
      <c r="I11" s="12" t="n">
        <v>1</v>
      </c>
      <c r="J11" s="12" t="n">
        <v>0</v>
      </c>
      <c r="K11" s="14" t="n">
        <v>5009302</v>
      </c>
      <c r="L11" s="13" t="s">
        <v>46</v>
      </c>
      <c r="M11" s="13"/>
      <c r="N11" s="13" t="s">
        <v>60</v>
      </c>
      <c r="O11" s="10"/>
      <c r="P11" s="10"/>
      <c r="Q11" s="10"/>
      <c r="R11" s="10"/>
      <c r="S11" s="10"/>
      <c r="T11" s="10"/>
      <c r="U11" s="10"/>
      <c r="V11" s="10"/>
      <c r="W11" s="10"/>
      <c r="X11" s="10"/>
      <c r="Y11" s="10"/>
      <c r="Z11" s="10"/>
      <c r="AA11" s="10"/>
      <c r="AB11" s="10"/>
      <c r="AC11" s="10"/>
    </row>
    <row r="12" customFormat="false" ht="30" hidden="false" customHeight="true" outlineLevel="0" collapsed="false">
      <c r="A12" s="15"/>
      <c r="B12" s="7" t="n">
        <v>9</v>
      </c>
      <c r="C12" s="8" t="s">
        <v>61</v>
      </c>
      <c r="D12" s="7" t="s">
        <v>33</v>
      </c>
      <c r="E12" s="8" t="s">
        <v>62</v>
      </c>
      <c r="F12" s="7" t="s">
        <v>59</v>
      </c>
      <c r="G12" s="7" t="s">
        <v>44</v>
      </c>
      <c r="H12" s="8" t="s">
        <v>45</v>
      </c>
      <c r="I12" s="7" t="n">
        <v>1</v>
      </c>
      <c r="J12" s="7" t="n">
        <v>0</v>
      </c>
      <c r="K12" s="9" t="n">
        <v>5009302</v>
      </c>
      <c r="L12" s="8" t="s">
        <v>46</v>
      </c>
      <c r="M12" s="8"/>
      <c r="N12" s="8" t="s">
        <v>60</v>
      </c>
      <c r="O12" s="10"/>
      <c r="P12" s="10"/>
      <c r="Q12" s="10"/>
      <c r="R12" s="10"/>
      <c r="S12" s="10"/>
      <c r="T12" s="10"/>
      <c r="U12" s="10"/>
      <c r="V12" s="10"/>
      <c r="W12" s="10"/>
      <c r="X12" s="10"/>
      <c r="Y12" s="10"/>
      <c r="Z12" s="10"/>
      <c r="AA12" s="10"/>
      <c r="AB12" s="10"/>
      <c r="AC12" s="10"/>
    </row>
    <row r="13" customFormat="false" ht="30" hidden="false" customHeight="true" outlineLevel="0" collapsed="false">
      <c r="A13" s="16"/>
      <c r="B13" s="12" t="n">
        <v>10</v>
      </c>
      <c r="C13" s="13" t="s">
        <v>63</v>
      </c>
      <c r="D13" s="12" t="s">
        <v>33</v>
      </c>
      <c r="E13" s="13" t="s">
        <v>64</v>
      </c>
      <c r="F13" s="12" t="s">
        <v>65</v>
      </c>
      <c r="G13" s="12" t="s">
        <v>44</v>
      </c>
      <c r="H13" s="13" t="s">
        <v>66</v>
      </c>
      <c r="I13" s="12" t="n">
        <v>1</v>
      </c>
      <c r="J13" s="12" t="n">
        <v>0</v>
      </c>
      <c r="K13" s="14" t="n">
        <v>5009302</v>
      </c>
      <c r="L13" s="13" t="s">
        <v>46</v>
      </c>
      <c r="M13" s="13"/>
      <c r="N13" s="13" t="s">
        <v>60</v>
      </c>
      <c r="O13" s="10"/>
      <c r="P13" s="10"/>
      <c r="Q13" s="10"/>
      <c r="R13" s="10"/>
      <c r="S13" s="10"/>
      <c r="T13" s="10"/>
      <c r="U13" s="10"/>
      <c r="V13" s="10"/>
      <c r="W13" s="10"/>
      <c r="X13" s="10"/>
      <c r="Y13" s="10"/>
      <c r="Z13" s="10"/>
      <c r="AA13" s="10"/>
      <c r="AB13" s="10"/>
      <c r="AC13" s="10"/>
    </row>
    <row r="14" customFormat="false" ht="30" hidden="false" customHeight="true" outlineLevel="0" collapsed="false">
      <c r="A14" s="15"/>
      <c r="B14" s="7" t="n">
        <v>11</v>
      </c>
      <c r="C14" s="8" t="s">
        <v>67</v>
      </c>
      <c r="D14" s="7" t="s">
        <v>33</v>
      </c>
      <c r="E14" s="8" t="s">
        <v>68</v>
      </c>
      <c r="F14" s="7" t="s">
        <v>69</v>
      </c>
      <c r="G14" s="7" t="s">
        <v>44</v>
      </c>
      <c r="H14" s="8" t="s">
        <v>70</v>
      </c>
      <c r="I14" s="7" t="n">
        <v>1</v>
      </c>
      <c r="J14" s="7" t="n">
        <v>0</v>
      </c>
      <c r="K14" s="9" t="n">
        <v>5009302</v>
      </c>
      <c r="L14" s="8" t="s">
        <v>46</v>
      </c>
      <c r="M14" s="8"/>
      <c r="N14" s="8" t="s">
        <v>60</v>
      </c>
      <c r="O14" s="10"/>
      <c r="P14" s="10"/>
      <c r="Q14" s="10"/>
      <c r="R14" s="10"/>
      <c r="S14" s="10"/>
      <c r="T14" s="10"/>
      <c r="U14" s="10"/>
      <c r="V14" s="10"/>
      <c r="W14" s="10"/>
      <c r="X14" s="10"/>
      <c r="Y14" s="10"/>
      <c r="Z14" s="10"/>
      <c r="AA14" s="10"/>
      <c r="AB14" s="10"/>
      <c r="AC14" s="10"/>
    </row>
    <row r="15" customFormat="false" ht="30" hidden="false" customHeight="true" outlineLevel="0" collapsed="false">
      <c r="A15" s="16"/>
      <c r="B15" s="12" t="n">
        <v>12</v>
      </c>
      <c r="C15" s="13" t="s">
        <v>71</v>
      </c>
      <c r="D15" s="12" t="s">
        <v>33</v>
      </c>
      <c r="E15" s="13" t="s">
        <v>72</v>
      </c>
      <c r="F15" s="12"/>
      <c r="G15" s="12" t="s">
        <v>44</v>
      </c>
      <c r="H15" s="13" t="s">
        <v>73</v>
      </c>
      <c r="I15" s="12" t="n">
        <v>1</v>
      </c>
      <c r="J15" s="12" t="n">
        <v>0</v>
      </c>
      <c r="K15" s="14" t="n">
        <v>5009302</v>
      </c>
      <c r="L15" s="13" t="s">
        <v>46</v>
      </c>
      <c r="M15" s="13"/>
      <c r="N15" s="13" t="s">
        <v>74</v>
      </c>
      <c r="O15" s="10"/>
      <c r="P15" s="10"/>
      <c r="Q15" s="10"/>
      <c r="R15" s="10"/>
      <c r="S15" s="10"/>
      <c r="T15" s="10"/>
      <c r="U15" s="10"/>
      <c r="V15" s="10"/>
      <c r="W15" s="10"/>
      <c r="X15" s="10"/>
      <c r="Y15" s="10"/>
      <c r="Z15" s="10"/>
      <c r="AA15" s="10"/>
      <c r="AB15" s="10"/>
      <c r="AC15" s="10"/>
    </row>
    <row r="16" customFormat="false" ht="30" hidden="false" customHeight="true" outlineLevel="0" collapsed="false">
      <c r="A16" s="15"/>
      <c r="B16" s="7" t="n">
        <v>13</v>
      </c>
      <c r="C16" s="8" t="s">
        <v>75</v>
      </c>
      <c r="D16" s="7" t="s">
        <v>76</v>
      </c>
      <c r="E16" s="8" t="s">
        <v>77</v>
      </c>
      <c r="F16" s="7" t="s">
        <v>78</v>
      </c>
      <c r="G16" s="7" t="s">
        <v>44</v>
      </c>
      <c r="H16" s="8" t="s">
        <v>73</v>
      </c>
      <c r="I16" s="7" t="n">
        <v>1</v>
      </c>
      <c r="J16" s="7" t="n">
        <v>0</v>
      </c>
      <c r="K16" s="9" t="n">
        <v>5009302</v>
      </c>
      <c r="L16" s="8" t="s">
        <v>46</v>
      </c>
      <c r="M16" s="8"/>
      <c r="N16" s="8" t="s">
        <v>74</v>
      </c>
      <c r="O16" s="10"/>
      <c r="P16" s="10"/>
      <c r="Q16" s="10"/>
      <c r="R16" s="10"/>
      <c r="S16" s="10"/>
      <c r="T16" s="10"/>
      <c r="U16" s="10"/>
      <c r="V16" s="10"/>
      <c r="W16" s="10"/>
      <c r="X16" s="10"/>
      <c r="Y16" s="10"/>
      <c r="Z16" s="10"/>
      <c r="AA16" s="10"/>
      <c r="AB16" s="10"/>
      <c r="AC16" s="10"/>
    </row>
    <row r="17" customFormat="false" ht="30" hidden="false" customHeight="true" outlineLevel="0" collapsed="false">
      <c r="A17" s="16"/>
      <c r="B17" s="12" t="n">
        <v>14</v>
      </c>
      <c r="C17" s="13" t="s">
        <v>79</v>
      </c>
      <c r="D17" s="12" t="s">
        <v>76</v>
      </c>
      <c r="E17" s="13" t="s">
        <v>80</v>
      </c>
      <c r="F17" s="12" t="s">
        <v>81</v>
      </c>
      <c r="G17" s="12" t="s">
        <v>44</v>
      </c>
      <c r="H17" s="13" t="s">
        <v>73</v>
      </c>
      <c r="I17" s="12" t="n">
        <v>1</v>
      </c>
      <c r="J17" s="12" t="n">
        <v>0</v>
      </c>
      <c r="K17" s="14" t="n">
        <v>5009302</v>
      </c>
      <c r="L17" s="13" t="s">
        <v>46</v>
      </c>
      <c r="M17" s="13"/>
      <c r="N17" s="13" t="s">
        <v>74</v>
      </c>
      <c r="O17" s="10"/>
      <c r="P17" s="10"/>
      <c r="Q17" s="10"/>
      <c r="R17" s="10"/>
      <c r="S17" s="10"/>
      <c r="T17" s="10"/>
      <c r="U17" s="10"/>
      <c r="V17" s="10"/>
      <c r="W17" s="10"/>
      <c r="X17" s="10"/>
      <c r="Y17" s="10"/>
      <c r="Z17" s="10"/>
      <c r="AA17" s="10"/>
      <c r="AB17" s="10"/>
      <c r="AC17" s="10"/>
    </row>
    <row r="18" customFormat="false" ht="30" hidden="false" customHeight="true" outlineLevel="0" collapsed="false">
      <c r="A18" s="15"/>
      <c r="B18" s="7" t="n">
        <v>15</v>
      </c>
      <c r="C18" s="8" t="s">
        <v>82</v>
      </c>
      <c r="D18" s="7"/>
      <c r="E18" s="8"/>
      <c r="F18" s="7"/>
      <c r="G18" s="7" t="s">
        <v>44</v>
      </c>
      <c r="H18" s="8" t="s">
        <v>73</v>
      </c>
      <c r="I18" s="7" t="n">
        <v>1</v>
      </c>
      <c r="J18" s="7" t="n">
        <v>0</v>
      </c>
      <c r="K18" s="9" t="n">
        <v>5009302</v>
      </c>
      <c r="L18" s="8" t="s">
        <v>46</v>
      </c>
      <c r="M18" s="8"/>
      <c r="N18" s="8" t="s">
        <v>74</v>
      </c>
      <c r="O18" s="10"/>
      <c r="P18" s="10"/>
      <c r="Q18" s="10"/>
      <c r="R18" s="10"/>
      <c r="S18" s="10"/>
      <c r="T18" s="10"/>
      <c r="U18" s="10"/>
      <c r="V18" s="10"/>
      <c r="W18" s="10"/>
      <c r="X18" s="10"/>
      <c r="Y18" s="10"/>
      <c r="Z18" s="10"/>
      <c r="AA18" s="10"/>
      <c r="AB18" s="10"/>
      <c r="AC18" s="10"/>
    </row>
    <row r="19" customFormat="false" ht="30" hidden="false" customHeight="true" outlineLevel="0" collapsed="false">
      <c r="A19" s="16"/>
      <c r="B19" s="12" t="n">
        <v>16</v>
      </c>
      <c r="C19" s="13" t="s">
        <v>83</v>
      </c>
      <c r="D19" s="12"/>
      <c r="E19" s="13"/>
      <c r="F19" s="12"/>
      <c r="G19" s="12" t="s">
        <v>44</v>
      </c>
      <c r="H19" s="13" t="s">
        <v>73</v>
      </c>
      <c r="I19" s="12" t="n">
        <v>1</v>
      </c>
      <c r="J19" s="12" t="n">
        <v>0</v>
      </c>
      <c r="K19" s="14" t="n">
        <v>5009302</v>
      </c>
      <c r="L19" s="13" t="s">
        <v>46</v>
      </c>
      <c r="M19" s="13"/>
      <c r="N19" s="13" t="s">
        <v>74</v>
      </c>
      <c r="O19" s="10"/>
      <c r="P19" s="10"/>
      <c r="Q19" s="10"/>
      <c r="R19" s="10"/>
      <c r="S19" s="10"/>
      <c r="T19" s="10"/>
      <c r="U19" s="10"/>
      <c r="V19" s="10"/>
      <c r="W19" s="10"/>
      <c r="X19" s="10"/>
      <c r="Y19" s="10"/>
      <c r="Z19" s="10"/>
      <c r="AA19" s="10"/>
      <c r="AB19" s="10"/>
      <c r="AC19" s="10"/>
    </row>
    <row r="20" customFormat="false" ht="30" hidden="false" customHeight="true" outlineLevel="0" collapsed="false">
      <c r="A20" s="15"/>
      <c r="B20" s="7" t="n">
        <v>17</v>
      </c>
      <c r="C20" s="8" t="s">
        <v>84</v>
      </c>
      <c r="D20" s="7"/>
      <c r="E20" s="8"/>
      <c r="F20" s="7" t="s">
        <v>85</v>
      </c>
      <c r="G20" s="7" t="s">
        <v>44</v>
      </c>
      <c r="H20" s="8" t="s">
        <v>86</v>
      </c>
      <c r="I20" s="7" t="n">
        <v>1</v>
      </c>
      <c r="J20" s="7" t="n">
        <v>0</v>
      </c>
      <c r="K20" s="9" t="n">
        <v>5009302</v>
      </c>
      <c r="L20" s="8" t="s">
        <v>46</v>
      </c>
      <c r="M20" s="8"/>
      <c r="N20" s="8" t="s">
        <v>87</v>
      </c>
      <c r="O20" s="10"/>
      <c r="P20" s="10"/>
      <c r="Q20" s="10"/>
      <c r="R20" s="10"/>
      <c r="S20" s="10"/>
      <c r="T20" s="10"/>
      <c r="U20" s="10"/>
      <c r="V20" s="10"/>
      <c r="W20" s="10"/>
      <c r="X20" s="10"/>
      <c r="Y20" s="10"/>
      <c r="Z20" s="10"/>
      <c r="AA20" s="10"/>
      <c r="AB20" s="10"/>
      <c r="AC20" s="10"/>
    </row>
    <row r="21" customFormat="false" ht="30" hidden="false" customHeight="true" outlineLevel="0" collapsed="false">
      <c r="A21" s="16"/>
      <c r="B21" s="12" t="n">
        <v>18</v>
      </c>
      <c r="C21" s="13" t="s">
        <v>88</v>
      </c>
      <c r="D21" s="12" t="s">
        <v>89</v>
      </c>
      <c r="E21" s="13" t="s">
        <v>90</v>
      </c>
      <c r="F21" s="12" t="s">
        <v>91</v>
      </c>
      <c r="G21" s="12" t="s">
        <v>44</v>
      </c>
      <c r="H21" s="13" t="s">
        <v>92</v>
      </c>
      <c r="I21" s="12" t="n">
        <v>1</v>
      </c>
      <c r="J21" s="12" t="n">
        <v>0</v>
      </c>
      <c r="K21" s="14" t="n">
        <v>5009302</v>
      </c>
      <c r="L21" s="13" t="s">
        <v>46</v>
      </c>
      <c r="M21" s="13"/>
      <c r="N21" s="13" t="s">
        <v>87</v>
      </c>
      <c r="O21" s="10"/>
      <c r="P21" s="10"/>
      <c r="Q21" s="10"/>
      <c r="R21" s="10"/>
      <c r="S21" s="10"/>
      <c r="T21" s="10"/>
      <c r="U21" s="10"/>
      <c r="V21" s="10"/>
      <c r="W21" s="10"/>
      <c r="X21" s="10"/>
      <c r="Y21" s="10"/>
      <c r="Z21" s="10"/>
      <c r="AA21" s="10"/>
      <c r="AB21" s="10"/>
      <c r="AC21" s="10"/>
    </row>
    <row r="22" customFormat="false" ht="30" hidden="false" customHeight="true" outlineLevel="0" collapsed="false">
      <c r="A22" s="15"/>
      <c r="B22" s="7" t="n">
        <v>19</v>
      </c>
      <c r="C22" s="8" t="s">
        <v>93</v>
      </c>
      <c r="D22" s="7" t="s">
        <v>33</v>
      </c>
      <c r="E22" s="8" t="s">
        <v>94</v>
      </c>
      <c r="F22" s="7" t="s">
        <v>95</v>
      </c>
      <c r="G22" s="7" t="s">
        <v>44</v>
      </c>
      <c r="H22" s="8" t="s">
        <v>96</v>
      </c>
      <c r="I22" s="7" t="n">
        <v>1</v>
      </c>
      <c r="J22" s="7" t="n">
        <v>0</v>
      </c>
      <c r="K22" s="9" t="n">
        <v>5009302</v>
      </c>
      <c r="L22" s="8" t="s">
        <v>46</v>
      </c>
      <c r="M22" s="8"/>
      <c r="N22" s="8" t="s">
        <v>87</v>
      </c>
      <c r="O22" s="10"/>
      <c r="P22" s="10"/>
      <c r="Q22" s="10"/>
      <c r="R22" s="10"/>
      <c r="S22" s="10"/>
      <c r="T22" s="10"/>
      <c r="U22" s="10"/>
      <c r="V22" s="10"/>
      <c r="W22" s="10"/>
      <c r="X22" s="10"/>
      <c r="Y22" s="10"/>
      <c r="Z22" s="10"/>
      <c r="AA22" s="10"/>
      <c r="AB22" s="10"/>
      <c r="AC22" s="10"/>
    </row>
    <row r="23" customFormat="false" ht="30" hidden="false" customHeight="true" outlineLevel="0" collapsed="false">
      <c r="A23" s="16"/>
      <c r="B23" s="12" t="n">
        <v>20</v>
      </c>
      <c r="C23" s="13" t="s">
        <v>97</v>
      </c>
      <c r="D23" s="12" t="s">
        <v>33</v>
      </c>
      <c r="E23" s="13" t="s">
        <v>98</v>
      </c>
      <c r="F23" s="12" t="s">
        <v>99</v>
      </c>
      <c r="G23" s="12" t="s">
        <v>44</v>
      </c>
      <c r="H23" s="13" t="s">
        <v>100</v>
      </c>
      <c r="I23" s="12" t="n">
        <v>1</v>
      </c>
      <c r="J23" s="12" t="n">
        <v>0</v>
      </c>
      <c r="K23" s="14" t="n">
        <v>5009302</v>
      </c>
      <c r="L23" s="13" t="s">
        <v>46</v>
      </c>
      <c r="M23" s="13"/>
      <c r="N23" s="13" t="s">
        <v>87</v>
      </c>
      <c r="O23" s="10"/>
      <c r="P23" s="10"/>
      <c r="Q23" s="10"/>
      <c r="R23" s="10"/>
      <c r="S23" s="10"/>
      <c r="T23" s="10"/>
      <c r="U23" s="10"/>
      <c r="V23" s="10"/>
      <c r="W23" s="10"/>
      <c r="X23" s="10"/>
      <c r="Y23" s="10"/>
      <c r="Z23" s="10"/>
      <c r="AA23" s="10"/>
      <c r="AB23" s="10"/>
      <c r="AC23" s="10"/>
    </row>
    <row r="24" customFormat="false" ht="30" hidden="false" customHeight="true" outlineLevel="0" collapsed="false">
      <c r="A24" s="15"/>
      <c r="B24" s="7" t="n">
        <v>21</v>
      </c>
      <c r="C24" s="8" t="s">
        <v>101</v>
      </c>
      <c r="D24" s="7" t="s">
        <v>102</v>
      </c>
      <c r="E24" s="8"/>
      <c r="F24" s="7" t="s">
        <v>103</v>
      </c>
      <c r="G24" s="7" t="s">
        <v>44</v>
      </c>
      <c r="H24" s="8" t="s">
        <v>100</v>
      </c>
      <c r="I24" s="7" t="n">
        <v>1</v>
      </c>
      <c r="J24" s="7" t="n">
        <v>0</v>
      </c>
      <c r="K24" s="9" t="n">
        <v>5009302</v>
      </c>
      <c r="L24" s="8" t="s">
        <v>46</v>
      </c>
      <c r="M24" s="8"/>
      <c r="N24" s="8" t="s">
        <v>87</v>
      </c>
      <c r="O24" s="10"/>
      <c r="P24" s="10"/>
      <c r="Q24" s="10"/>
      <c r="R24" s="10"/>
      <c r="S24" s="10"/>
      <c r="T24" s="10"/>
      <c r="U24" s="10"/>
      <c r="V24" s="10"/>
      <c r="W24" s="10"/>
      <c r="X24" s="10"/>
      <c r="Y24" s="10"/>
      <c r="Z24" s="10"/>
      <c r="AA24" s="10"/>
      <c r="AB24" s="10"/>
      <c r="AC24" s="10"/>
    </row>
    <row r="25" customFormat="false" ht="30" hidden="false" customHeight="true" outlineLevel="0" collapsed="false">
      <c r="A25" s="16"/>
      <c r="B25" s="12" t="n">
        <v>22</v>
      </c>
      <c r="C25" s="13" t="s">
        <v>104</v>
      </c>
      <c r="D25" s="12"/>
      <c r="E25" s="13"/>
      <c r="F25" s="12" t="s">
        <v>105</v>
      </c>
      <c r="G25" s="12" t="s">
        <v>44</v>
      </c>
      <c r="H25" s="13" t="s">
        <v>106</v>
      </c>
      <c r="I25" s="12" t="n">
        <v>1</v>
      </c>
      <c r="J25" s="12" t="n">
        <v>0</v>
      </c>
      <c r="K25" s="14" t="n">
        <v>5009302</v>
      </c>
      <c r="L25" s="13" t="s">
        <v>46</v>
      </c>
      <c r="M25" s="13"/>
      <c r="N25" s="13" t="s">
        <v>87</v>
      </c>
      <c r="O25" s="10"/>
      <c r="P25" s="10"/>
      <c r="Q25" s="10"/>
      <c r="R25" s="10"/>
      <c r="S25" s="10"/>
      <c r="T25" s="10"/>
      <c r="U25" s="10"/>
      <c r="V25" s="10"/>
      <c r="W25" s="10"/>
      <c r="X25" s="10"/>
      <c r="Y25" s="10"/>
      <c r="Z25" s="10"/>
      <c r="AA25" s="10"/>
      <c r="AB25" s="10"/>
      <c r="AC25" s="10"/>
    </row>
    <row r="26" customFormat="false" ht="30" hidden="false" customHeight="true" outlineLevel="0" collapsed="false">
      <c r="A26" s="15"/>
      <c r="B26" s="7" t="n">
        <v>23</v>
      </c>
      <c r="C26" s="8" t="s">
        <v>107</v>
      </c>
      <c r="D26" s="7" t="s">
        <v>33</v>
      </c>
      <c r="E26" s="8" t="s">
        <v>108</v>
      </c>
      <c r="F26" s="7" t="s">
        <v>109</v>
      </c>
      <c r="G26" s="7" t="s">
        <v>44</v>
      </c>
      <c r="H26" s="8" t="s">
        <v>110</v>
      </c>
      <c r="I26" s="7" t="n">
        <v>1</v>
      </c>
      <c r="J26" s="7" t="n">
        <v>0</v>
      </c>
      <c r="K26" s="9" t="n">
        <v>5009302</v>
      </c>
      <c r="L26" s="8" t="s">
        <v>46</v>
      </c>
      <c r="M26" s="8"/>
      <c r="N26" s="8" t="s">
        <v>87</v>
      </c>
      <c r="O26" s="10"/>
      <c r="P26" s="10"/>
      <c r="Q26" s="10"/>
      <c r="R26" s="10"/>
      <c r="S26" s="10"/>
      <c r="T26" s="10"/>
      <c r="U26" s="10"/>
      <c r="V26" s="10"/>
      <c r="W26" s="10"/>
      <c r="X26" s="10"/>
      <c r="Y26" s="10"/>
      <c r="Z26" s="10"/>
      <c r="AA26" s="10"/>
      <c r="AB26" s="10"/>
      <c r="AC26" s="10"/>
    </row>
    <row r="27" customFormat="false" ht="30" hidden="false" customHeight="true" outlineLevel="0" collapsed="false">
      <c r="A27" s="16"/>
      <c r="B27" s="12" t="n">
        <v>24</v>
      </c>
      <c r="C27" s="13" t="s">
        <v>111</v>
      </c>
      <c r="D27" s="12" t="s">
        <v>112</v>
      </c>
      <c r="E27" s="13" t="s">
        <v>113</v>
      </c>
      <c r="F27" s="12" t="s">
        <v>114</v>
      </c>
      <c r="G27" s="12" t="s">
        <v>44</v>
      </c>
      <c r="H27" s="13" t="s">
        <v>115</v>
      </c>
      <c r="I27" s="12" t="n">
        <v>1</v>
      </c>
      <c r="J27" s="12" t="n">
        <v>0</v>
      </c>
      <c r="K27" s="14" t="n">
        <v>5009302</v>
      </c>
      <c r="L27" s="13" t="s">
        <v>46</v>
      </c>
      <c r="M27" s="13"/>
      <c r="N27" s="13" t="s">
        <v>87</v>
      </c>
      <c r="O27" s="10"/>
      <c r="P27" s="10"/>
      <c r="Q27" s="10"/>
      <c r="R27" s="10"/>
      <c r="S27" s="10"/>
      <c r="T27" s="10"/>
      <c r="U27" s="10"/>
      <c r="V27" s="10"/>
      <c r="W27" s="10"/>
      <c r="X27" s="10"/>
      <c r="Y27" s="10"/>
      <c r="Z27" s="10"/>
      <c r="AA27" s="10"/>
      <c r="AB27" s="10"/>
      <c r="AC27" s="10"/>
    </row>
    <row r="28" customFormat="false" ht="30" hidden="false" customHeight="true" outlineLevel="0" collapsed="false">
      <c r="A28" s="15"/>
      <c r="B28" s="7" t="n">
        <v>25</v>
      </c>
      <c r="C28" s="8" t="s">
        <v>116</v>
      </c>
      <c r="D28" s="7" t="s">
        <v>33</v>
      </c>
      <c r="E28" s="8" t="s">
        <v>117</v>
      </c>
      <c r="F28" s="7" t="s">
        <v>118</v>
      </c>
      <c r="G28" s="7" t="s">
        <v>44</v>
      </c>
      <c r="H28" s="8" t="s">
        <v>119</v>
      </c>
      <c r="I28" s="7" t="n">
        <v>1</v>
      </c>
      <c r="J28" s="7" t="n">
        <v>0</v>
      </c>
      <c r="K28" s="9" t="n">
        <v>5009302</v>
      </c>
      <c r="L28" s="8" t="s">
        <v>46</v>
      </c>
      <c r="M28" s="8"/>
      <c r="N28" s="8" t="s">
        <v>87</v>
      </c>
      <c r="O28" s="10"/>
      <c r="P28" s="10"/>
      <c r="Q28" s="10"/>
      <c r="R28" s="10"/>
      <c r="S28" s="10"/>
      <c r="T28" s="10"/>
      <c r="U28" s="10"/>
      <c r="V28" s="10"/>
      <c r="W28" s="10"/>
      <c r="X28" s="10"/>
      <c r="Y28" s="10"/>
      <c r="Z28" s="10"/>
      <c r="AA28" s="10"/>
      <c r="AB28" s="10"/>
      <c r="AC28" s="10"/>
    </row>
    <row r="29" customFormat="false" ht="30" hidden="false" customHeight="true" outlineLevel="0" collapsed="false">
      <c r="A29" s="16"/>
      <c r="B29" s="12" t="n">
        <v>26</v>
      </c>
      <c r="C29" s="13" t="s">
        <v>120</v>
      </c>
      <c r="D29" s="12" t="s">
        <v>33</v>
      </c>
      <c r="E29" s="13" t="s">
        <v>121</v>
      </c>
      <c r="F29" s="12" t="s">
        <v>122</v>
      </c>
      <c r="G29" s="12" t="s">
        <v>44</v>
      </c>
      <c r="H29" s="13" t="s">
        <v>123</v>
      </c>
      <c r="I29" s="12" t="n">
        <v>1</v>
      </c>
      <c r="J29" s="12" t="n">
        <v>0</v>
      </c>
      <c r="K29" s="14" t="n">
        <v>5009302</v>
      </c>
      <c r="L29" s="13" t="s">
        <v>46</v>
      </c>
      <c r="M29" s="13"/>
      <c r="N29" s="13" t="s">
        <v>87</v>
      </c>
      <c r="O29" s="10"/>
      <c r="P29" s="10"/>
      <c r="Q29" s="10"/>
      <c r="R29" s="10"/>
      <c r="S29" s="10"/>
      <c r="T29" s="10"/>
      <c r="U29" s="10"/>
      <c r="V29" s="10"/>
      <c r="W29" s="10"/>
      <c r="X29" s="10"/>
      <c r="Y29" s="10"/>
      <c r="Z29" s="10"/>
      <c r="AA29" s="10"/>
      <c r="AB29" s="10"/>
      <c r="AC29" s="10"/>
    </row>
    <row r="30" customFormat="false" ht="30" hidden="false" customHeight="true" outlineLevel="0" collapsed="false">
      <c r="A30" s="15"/>
      <c r="B30" s="7" t="n">
        <v>27</v>
      </c>
      <c r="C30" s="8" t="s">
        <v>124</v>
      </c>
      <c r="D30" s="7"/>
      <c r="E30" s="8"/>
      <c r="F30" s="7" t="s">
        <v>125</v>
      </c>
      <c r="G30" s="7" t="s">
        <v>44</v>
      </c>
      <c r="H30" s="8" t="s">
        <v>126</v>
      </c>
      <c r="I30" s="7" t="n">
        <v>1</v>
      </c>
      <c r="J30" s="7" t="n">
        <v>0</v>
      </c>
      <c r="K30" s="9" t="n">
        <v>5009302</v>
      </c>
      <c r="L30" s="8" t="s">
        <v>46</v>
      </c>
      <c r="M30" s="8"/>
      <c r="N30" s="8" t="s">
        <v>87</v>
      </c>
      <c r="O30" s="10"/>
      <c r="P30" s="10"/>
      <c r="Q30" s="10"/>
      <c r="R30" s="10"/>
      <c r="S30" s="10"/>
      <c r="T30" s="10"/>
      <c r="U30" s="10"/>
      <c r="V30" s="10"/>
      <c r="W30" s="10"/>
      <c r="X30" s="10"/>
      <c r="Y30" s="10"/>
      <c r="Z30" s="10"/>
      <c r="AA30" s="10"/>
      <c r="AB30" s="10"/>
      <c r="AC30" s="10"/>
    </row>
    <row r="31" customFormat="false" ht="30" hidden="false" customHeight="true" outlineLevel="0" collapsed="false">
      <c r="A31" s="16"/>
      <c r="B31" s="12" t="n">
        <v>28</v>
      </c>
      <c r="C31" s="13" t="s">
        <v>127</v>
      </c>
      <c r="D31" s="12"/>
      <c r="E31" s="13"/>
      <c r="F31" s="12" t="s">
        <v>128</v>
      </c>
      <c r="G31" s="12" t="s">
        <v>44</v>
      </c>
      <c r="H31" s="13" t="s">
        <v>129</v>
      </c>
      <c r="I31" s="12" t="n">
        <v>1</v>
      </c>
      <c r="J31" s="12" t="n">
        <v>0</v>
      </c>
      <c r="K31" s="14" t="n">
        <v>5009302</v>
      </c>
      <c r="L31" s="13" t="s">
        <v>46</v>
      </c>
      <c r="M31" s="13"/>
      <c r="N31" s="13" t="s">
        <v>87</v>
      </c>
      <c r="O31" s="10"/>
      <c r="P31" s="10"/>
      <c r="Q31" s="10"/>
      <c r="R31" s="10"/>
      <c r="S31" s="10"/>
      <c r="T31" s="10"/>
      <c r="U31" s="10"/>
      <c r="V31" s="10"/>
      <c r="W31" s="10"/>
      <c r="X31" s="10"/>
      <c r="Y31" s="10"/>
      <c r="Z31" s="10"/>
      <c r="AA31" s="10"/>
      <c r="AB31" s="10"/>
      <c r="AC31" s="10"/>
    </row>
    <row r="32" customFormat="false" ht="30" hidden="false" customHeight="true" outlineLevel="0" collapsed="false">
      <c r="A32" s="15"/>
      <c r="B32" s="7" t="n">
        <v>29</v>
      </c>
      <c r="C32" s="8" t="s">
        <v>130</v>
      </c>
      <c r="D32" s="7" t="s">
        <v>55</v>
      </c>
      <c r="E32" s="8" t="s">
        <v>131</v>
      </c>
      <c r="F32" s="7" t="s">
        <v>132</v>
      </c>
      <c r="G32" s="7" t="s">
        <v>44</v>
      </c>
      <c r="H32" s="8" t="s">
        <v>86</v>
      </c>
      <c r="I32" s="7" t="n">
        <v>1</v>
      </c>
      <c r="J32" s="7" t="n">
        <v>0</v>
      </c>
      <c r="K32" s="9" t="n">
        <v>5009302</v>
      </c>
      <c r="L32" s="8" t="s">
        <v>46</v>
      </c>
      <c r="M32" s="8"/>
      <c r="N32" s="8" t="s">
        <v>87</v>
      </c>
      <c r="O32" s="10"/>
      <c r="P32" s="10"/>
      <c r="Q32" s="10"/>
      <c r="R32" s="10"/>
      <c r="S32" s="10"/>
      <c r="T32" s="10"/>
      <c r="U32" s="10"/>
      <c r="V32" s="10"/>
      <c r="W32" s="10"/>
      <c r="X32" s="10"/>
      <c r="Y32" s="10"/>
      <c r="Z32" s="10"/>
      <c r="AA32" s="10"/>
      <c r="AB32" s="10"/>
      <c r="AC32" s="10"/>
    </row>
    <row r="33" customFormat="false" ht="30" hidden="false" customHeight="true" outlineLevel="0" collapsed="false">
      <c r="A33" s="16"/>
      <c r="B33" s="12" t="n">
        <v>30</v>
      </c>
      <c r="C33" s="13" t="s">
        <v>133</v>
      </c>
      <c r="D33" s="12" t="s">
        <v>33</v>
      </c>
      <c r="E33" s="13" t="s">
        <v>134</v>
      </c>
      <c r="F33" s="12" t="s">
        <v>135</v>
      </c>
      <c r="G33" s="12" t="s">
        <v>44</v>
      </c>
      <c r="H33" s="13" t="s">
        <v>136</v>
      </c>
      <c r="I33" s="12" t="n">
        <v>1</v>
      </c>
      <c r="J33" s="12" t="n">
        <v>0</v>
      </c>
      <c r="K33" s="14" t="n">
        <v>5009302</v>
      </c>
      <c r="L33" s="13" t="s">
        <v>46</v>
      </c>
      <c r="M33" s="13"/>
      <c r="N33" s="13" t="s">
        <v>87</v>
      </c>
      <c r="O33" s="10"/>
      <c r="P33" s="10"/>
      <c r="Q33" s="10"/>
      <c r="R33" s="10"/>
      <c r="S33" s="10"/>
      <c r="T33" s="10"/>
      <c r="U33" s="10"/>
      <c r="V33" s="10"/>
      <c r="W33" s="10"/>
      <c r="X33" s="10"/>
      <c r="Y33" s="10"/>
      <c r="Z33" s="10"/>
      <c r="AA33" s="10"/>
      <c r="AB33" s="10"/>
      <c r="AC33" s="10"/>
    </row>
    <row r="34" customFormat="false" ht="30" hidden="false" customHeight="true" outlineLevel="0" collapsed="false">
      <c r="A34" s="15"/>
      <c r="B34" s="7" t="n">
        <v>31</v>
      </c>
      <c r="C34" s="8" t="s">
        <v>137</v>
      </c>
      <c r="D34" s="7" t="s">
        <v>33</v>
      </c>
      <c r="E34" s="8" t="s">
        <v>138</v>
      </c>
      <c r="F34" s="7" t="s">
        <v>139</v>
      </c>
      <c r="G34" s="7" t="s">
        <v>44</v>
      </c>
      <c r="H34" s="8" t="s">
        <v>140</v>
      </c>
      <c r="I34" s="7" t="n">
        <v>1</v>
      </c>
      <c r="J34" s="7" t="n">
        <v>0</v>
      </c>
      <c r="K34" s="9" t="n">
        <v>5009302</v>
      </c>
      <c r="L34" s="8" t="s">
        <v>46</v>
      </c>
      <c r="M34" s="8"/>
      <c r="N34" s="8" t="s">
        <v>87</v>
      </c>
      <c r="O34" s="10"/>
      <c r="P34" s="10"/>
      <c r="Q34" s="10"/>
      <c r="R34" s="10"/>
      <c r="S34" s="10"/>
      <c r="T34" s="10"/>
      <c r="U34" s="10"/>
      <c r="V34" s="10"/>
      <c r="W34" s="10"/>
      <c r="X34" s="10"/>
      <c r="Y34" s="10"/>
      <c r="Z34" s="10"/>
      <c r="AA34" s="10"/>
      <c r="AB34" s="10"/>
      <c r="AC34" s="10"/>
    </row>
    <row r="35" customFormat="false" ht="30" hidden="false" customHeight="true" outlineLevel="0" collapsed="false">
      <c r="A35" s="16"/>
      <c r="B35" s="12" t="n">
        <v>32</v>
      </c>
      <c r="C35" s="13" t="s">
        <v>141</v>
      </c>
      <c r="D35" s="12" t="s">
        <v>33</v>
      </c>
      <c r="E35" s="13" t="s">
        <v>142</v>
      </c>
      <c r="F35" s="12" t="s">
        <v>143</v>
      </c>
      <c r="G35" s="12" t="s">
        <v>44</v>
      </c>
      <c r="H35" s="13" t="s">
        <v>140</v>
      </c>
      <c r="I35" s="12" t="n">
        <v>1</v>
      </c>
      <c r="J35" s="12" t="n">
        <v>0</v>
      </c>
      <c r="K35" s="14" t="n">
        <v>5009302</v>
      </c>
      <c r="L35" s="13" t="s">
        <v>46</v>
      </c>
      <c r="M35" s="13"/>
      <c r="N35" s="13" t="s">
        <v>87</v>
      </c>
      <c r="O35" s="10"/>
      <c r="P35" s="10"/>
      <c r="Q35" s="10"/>
      <c r="R35" s="10"/>
      <c r="S35" s="10"/>
      <c r="T35" s="10"/>
      <c r="U35" s="10"/>
      <c r="V35" s="10"/>
      <c r="W35" s="10"/>
      <c r="X35" s="10"/>
      <c r="Y35" s="10"/>
      <c r="Z35" s="10"/>
      <c r="AA35" s="10"/>
      <c r="AB35" s="10"/>
      <c r="AC35" s="10"/>
    </row>
    <row r="36" customFormat="false" ht="30" hidden="false" customHeight="true" outlineLevel="0" collapsed="false">
      <c r="A36" s="15"/>
      <c r="B36" s="7" t="n">
        <v>33</v>
      </c>
      <c r="C36" s="8" t="s">
        <v>144</v>
      </c>
      <c r="D36" s="7" t="s">
        <v>102</v>
      </c>
      <c r="E36" s="8" t="s">
        <v>145</v>
      </c>
      <c r="F36" s="7" t="s">
        <v>146</v>
      </c>
      <c r="G36" s="7" t="s">
        <v>44</v>
      </c>
      <c r="H36" s="8" t="s">
        <v>147</v>
      </c>
      <c r="I36" s="7" t="n">
        <v>1</v>
      </c>
      <c r="J36" s="7" t="n">
        <v>0</v>
      </c>
      <c r="K36" s="9" t="n">
        <v>5009302</v>
      </c>
      <c r="L36" s="8" t="s">
        <v>46</v>
      </c>
      <c r="M36" s="8"/>
      <c r="N36" s="8" t="s">
        <v>87</v>
      </c>
      <c r="O36" s="10"/>
      <c r="P36" s="10"/>
      <c r="Q36" s="10"/>
      <c r="R36" s="10"/>
      <c r="S36" s="10"/>
      <c r="T36" s="10"/>
      <c r="U36" s="10"/>
      <c r="V36" s="10"/>
      <c r="W36" s="10"/>
      <c r="X36" s="10"/>
      <c r="Y36" s="10"/>
      <c r="Z36" s="10"/>
      <c r="AA36" s="10"/>
      <c r="AB36" s="10"/>
      <c r="AC36" s="10"/>
    </row>
    <row r="37" customFormat="false" ht="30" hidden="false" customHeight="true" outlineLevel="0" collapsed="false">
      <c r="A37" s="16"/>
      <c r="B37" s="12" t="n">
        <v>34</v>
      </c>
      <c r="C37" s="13" t="s">
        <v>148</v>
      </c>
      <c r="D37" s="12" t="s">
        <v>33</v>
      </c>
      <c r="E37" s="13" t="s">
        <v>149</v>
      </c>
      <c r="F37" s="12" t="s">
        <v>150</v>
      </c>
      <c r="G37" s="12" t="s">
        <v>44</v>
      </c>
      <c r="H37" s="13" t="s">
        <v>151</v>
      </c>
      <c r="I37" s="12" t="n">
        <v>1</v>
      </c>
      <c r="J37" s="12" t="n">
        <v>0</v>
      </c>
      <c r="K37" s="14" t="n">
        <v>5009302</v>
      </c>
      <c r="L37" s="13" t="s">
        <v>46</v>
      </c>
      <c r="M37" s="13"/>
      <c r="N37" s="13" t="s">
        <v>87</v>
      </c>
      <c r="O37" s="10"/>
      <c r="P37" s="10"/>
      <c r="Q37" s="10"/>
      <c r="R37" s="10"/>
      <c r="S37" s="10"/>
      <c r="T37" s="10"/>
      <c r="U37" s="10"/>
      <c r="V37" s="10"/>
      <c r="W37" s="10"/>
      <c r="X37" s="10"/>
      <c r="Y37" s="10"/>
      <c r="Z37" s="10"/>
      <c r="AA37" s="10"/>
      <c r="AB37" s="10"/>
      <c r="AC37" s="10"/>
    </row>
    <row r="38" customFormat="false" ht="30" hidden="false" customHeight="true" outlineLevel="0" collapsed="false">
      <c r="A38" s="15"/>
      <c r="B38" s="7" t="n">
        <v>35</v>
      </c>
      <c r="C38" s="8" t="s">
        <v>152</v>
      </c>
      <c r="D38" s="7" t="s">
        <v>33</v>
      </c>
      <c r="E38" s="8" t="s">
        <v>153</v>
      </c>
      <c r="F38" s="7" t="s">
        <v>154</v>
      </c>
      <c r="G38" s="7" t="s">
        <v>44</v>
      </c>
      <c r="H38" s="8" t="s">
        <v>155</v>
      </c>
      <c r="I38" s="7" t="n">
        <v>1</v>
      </c>
      <c r="J38" s="7" t="n">
        <v>0</v>
      </c>
      <c r="K38" s="9" t="n">
        <v>5009302</v>
      </c>
      <c r="L38" s="8" t="s">
        <v>46</v>
      </c>
      <c r="M38" s="8"/>
      <c r="N38" s="8" t="s">
        <v>87</v>
      </c>
      <c r="O38" s="10"/>
      <c r="P38" s="10"/>
      <c r="Q38" s="10"/>
      <c r="R38" s="10"/>
      <c r="S38" s="10"/>
      <c r="T38" s="10"/>
      <c r="U38" s="10"/>
      <c r="V38" s="10"/>
      <c r="W38" s="10"/>
      <c r="X38" s="10"/>
      <c r="Y38" s="10"/>
      <c r="Z38" s="10"/>
      <c r="AA38" s="10"/>
      <c r="AB38" s="10"/>
      <c r="AC38" s="10"/>
    </row>
    <row r="39" customFormat="false" ht="30" hidden="false" customHeight="true" outlineLevel="0" collapsed="false">
      <c r="A39" s="16"/>
      <c r="B39" s="12" t="n">
        <v>36</v>
      </c>
      <c r="C39" s="13" t="s">
        <v>156</v>
      </c>
      <c r="D39" s="12"/>
      <c r="E39" s="13"/>
      <c r="F39" s="12" t="s">
        <v>157</v>
      </c>
      <c r="G39" s="12" t="s">
        <v>44</v>
      </c>
      <c r="H39" s="13" t="s">
        <v>158</v>
      </c>
      <c r="I39" s="12" t="n">
        <v>1</v>
      </c>
      <c r="J39" s="12" t="n">
        <v>0</v>
      </c>
      <c r="K39" s="14" t="n">
        <v>5009302</v>
      </c>
      <c r="L39" s="13" t="s">
        <v>46</v>
      </c>
      <c r="M39" s="13"/>
      <c r="N39" s="13" t="s">
        <v>87</v>
      </c>
      <c r="O39" s="10"/>
      <c r="P39" s="10"/>
      <c r="Q39" s="10"/>
      <c r="R39" s="10"/>
      <c r="S39" s="10"/>
      <c r="T39" s="10"/>
      <c r="U39" s="10"/>
      <c r="V39" s="10"/>
      <c r="W39" s="10"/>
      <c r="X39" s="10"/>
      <c r="Y39" s="10"/>
      <c r="Z39" s="10"/>
      <c r="AA39" s="10"/>
      <c r="AB39" s="10"/>
      <c r="AC39" s="10"/>
    </row>
    <row r="40" customFormat="false" ht="30" hidden="false" customHeight="true" outlineLevel="0" collapsed="false">
      <c r="A40" s="15"/>
      <c r="B40" s="7" t="n">
        <v>37</v>
      </c>
      <c r="C40" s="8" t="s">
        <v>159</v>
      </c>
      <c r="D40" s="7"/>
      <c r="E40" s="8"/>
      <c r="F40" s="7" t="s">
        <v>160</v>
      </c>
      <c r="G40" s="7" t="s">
        <v>44</v>
      </c>
      <c r="H40" s="8" t="s">
        <v>86</v>
      </c>
      <c r="I40" s="7" t="n">
        <v>1</v>
      </c>
      <c r="J40" s="7" t="n">
        <v>0</v>
      </c>
      <c r="K40" s="9" t="n">
        <v>5009302</v>
      </c>
      <c r="L40" s="8" t="s">
        <v>46</v>
      </c>
      <c r="M40" s="8"/>
      <c r="N40" s="8" t="s">
        <v>87</v>
      </c>
      <c r="O40" s="10"/>
      <c r="P40" s="10"/>
      <c r="Q40" s="10"/>
      <c r="R40" s="10"/>
      <c r="S40" s="10"/>
      <c r="T40" s="10"/>
      <c r="U40" s="10"/>
      <c r="V40" s="10"/>
      <c r="W40" s="10"/>
      <c r="X40" s="10"/>
      <c r="Y40" s="10"/>
      <c r="Z40" s="10"/>
      <c r="AA40" s="10"/>
      <c r="AB40" s="10"/>
      <c r="AC40" s="10"/>
    </row>
    <row r="41" customFormat="false" ht="30" hidden="false" customHeight="true" outlineLevel="0" collapsed="false">
      <c r="A41" s="16"/>
      <c r="B41" s="12" t="n">
        <v>38</v>
      </c>
      <c r="C41" s="13" t="s">
        <v>161</v>
      </c>
      <c r="D41" s="12" t="s">
        <v>162</v>
      </c>
      <c r="E41" s="13" t="s">
        <v>163</v>
      </c>
      <c r="F41" s="12" t="s">
        <v>164</v>
      </c>
      <c r="G41" s="12" t="s">
        <v>44</v>
      </c>
      <c r="H41" s="13" t="s">
        <v>165</v>
      </c>
      <c r="I41" s="12" t="n">
        <v>1</v>
      </c>
      <c r="J41" s="12" t="n">
        <v>0</v>
      </c>
      <c r="K41" s="14" t="n">
        <v>5009302</v>
      </c>
      <c r="L41" s="13" t="s">
        <v>46</v>
      </c>
      <c r="M41" s="13"/>
      <c r="N41" s="13" t="s">
        <v>87</v>
      </c>
      <c r="O41" s="10"/>
      <c r="P41" s="10"/>
      <c r="Q41" s="10"/>
      <c r="R41" s="10"/>
      <c r="S41" s="10"/>
      <c r="T41" s="10"/>
      <c r="U41" s="10"/>
      <c r="V41" s="10"/>
      <c r="W41" s="10"/>
      <c r="X41" s="10"/>
      <c r="Y41" s="10"/>
      <c r="Z41" s="10"/>
      <c r="AA41" s="10"/>
      <c r="AB41" s="10"/>
      <c r="AC41" s="10"/>
    </row>
    <row r="42" customFormat="false" ht="30" hidden="false" customHeight="true" outlineLevel="0" collapsed="false">
      <c r="A42" s="15"/>
      <c r="B42" s="7" t="n">
        <v>39</v>
      </c>
      <c r="C42" s="8" t="s">
        <v>166</v>
      </c>
      <c r="D42" s="7" t="s">
        <v>33</v>
      </c>
      <c r="E42" s="8" t="s">
        <v>167</v>
      </c>
      <c r="F42" s="7" t="s">
        <v>168</v>
      </c>
      <c r="G42" s="7" t="s">
        <v>44</v>
      </c>
      <c r="H42" s="8" t="s">
        <v>169</v>
      </c>
      <c r="I42" s="7" t="n">
        <v>1</v>
      </c>
      <c r="J42" s="7" t="n">
        <v>0</v>
      </c>
      <c r="K42" s="9" t="n">
        <v>5009302</v>
      </c>
      <c r="L42" s="8" t="s">
        <v>46</v>
      </c>
      <c r="M42" s="8"/>
      <c r="N42" s="8" t="s">
        <v>87</v>
      </c>
      <c r="O42" s="10"/>
      <c r="P42" s="10"/>
      <c r="Q42" s="10"/>
      <c r="R42" s="10"/>
      <c r="S42" s="10"/>
      <c r="T42" s="10"/>
      <c r="U42" s="10"/>
      <c r="V42" s="10"/>
      <c r="W42" s="10"/>
      <c r="X42" s="10"/>
      <c r="Y42" s="10"/>
      <c r="Z42" s="10"/>
      <c r="AA42" s="10"/>
      <c r="AB42" s="10"/>
      <c r="AC42" s="10"/>
    </row>
    <row r="43" customFormat="false" ht="30" hidden="false" customHeight="true" outlineLevel="0" collapsed="false">
      <c r="A43" s="16"/>
      <c r="B43" s="12" t="n">
        <v>40</v>
      </c>
      <c r="C43" s="13" t="s">
        <v>170</v>
      </c>
      <c r="D43" s="12" t="s">
        <v>171</v>
      </c>
      <c r="E43" s="13" t="s">
        <v>172</v>
      </c>
      <c r="F43" s="12" t="s">
        <v>173</v>
      </c>
      <c r="G43" s="12" t="s">
        <v>44</v>
      </c>
      <c r="H43" s="13" t="s">
        <v>174</v>
      </c>
      <c r="I43" s="12" t="n">
        <v>1</v>
      </c>
      <c r="J43" s="12" t="n">
        <v>0</v>
      </c>
      <c r="K43" s="14" t="n">
        <v>5009302</v>
      </c>
      <c r="L43" s="13" t="s">
        <v>46</v>
      </c>
      <c r="M43" s="13"/>
      <c r="N43" s="13" t="s">
        <v>87</v>
      </c>
      <c r="O43" s="10"/>
      <c r="P43" s="10"/>
      <c r="Q43" s="10"/>
      <c r="R43" s="10"/>
      <c r="S43" s="10"/>
      <c r="T43" s="10"/>
      <c r="U43" s="10"/>
      <c r="V43" s="10"/>
      <c r="W43" s="10"/>
      <c r="X43" s="10"/>
      <c r="Y43" s="10"/>
      <c r="Z43" s="10"/>
      <c r="AA43" s="10"/>
      <c r="AB43" s="10"/>
      <c r="AC43" s="10"/>
    </row>
    <row r="44" customFormat="false" ht="30" hidden="false" customHeight="true" outlineLevel="0" collapsed="false">
      <c r="A44" s="15"/>
      <c r="B44" s="7" t="n">
        <v>41</v>
      </c>
      <c r="C44" s="8" t="s">
        <v>175</v>
      </c>
      <c r="D44" s="7" t="s">
        <v>33</v>
      </c>
      <c r="E44" s="8" t="s">
        <v>176</v>
      </c>
      <c r="F44" s="7" t="s">
        <v>177</v>
      </c>
      <c r="G44" s="7" t="s">
        <v>44</v>
      </c>
      <c r="H44" s="8" t="s">
        <v>178</v>
      </c>
      <c r="I44" s="7" t="n">
        <v>1</v>
      </c>
      <c r="J44" s="7" t="n">
        <v>0</v>
      </c>
      <c r="K44" s="9" t="n">
        <v>5009302</v>
      </c>
      <c r="L44" s="8" t="s">
        <v>46</v>
      </c>
      <c r="M44" s="8"/>
      <c r="N44" s="8" t="s">
        <v>87</v>
      </c>
      <c r="O44" s="10"/>
      <c r="P44" s="10"/>
      <c r="Q44" s="10"/>
      <c r="R44" s="10"/>
      <c r="S44" s="10"/>
      <c r="T44" s="10"/>
      <c r="U44" s="10"/>
      <c r="V44" s="10"/>
      <c r="W44" s="10"/>
      <c r="X44" s="10"/>
      <c r="Y44" s="10"/>
      <c r="Z44" s="10"/>
      <c r="AA44" s="10"/>
      <c r="AB44" s="10"/>
      <c r="AC44" s="10"/>
    </row>
    <row r="45" customFormat="false" ht="30" hidden="false" customHeight="true" outlineLevel="0" collapsed="false">
      <c r="A45" s="16"/>
      <c r="B45" s="12" t="n">
        <v>42</v>
      </c>
      <c r="C45" s="13" t="s">
        <v>179</v>
      </c>
      <c r="D45" s="12"/>
      <c r="E45" s="13"/>
      <c r="F45" s="12" t="s">
        <v>180</v>
      </c>
      <c r="G45" s="12" t="s">
        <v>44</v>
      </c>
      <c r="H45" s="13" t="s">
        <v>181</v>
      </c>
      <c r="I45" s="12" t="n">
        <v>1</v>
      </c>
      <c r="J45" s="12" t="n">
        <v>0</v>
      </c>
      <c r="K45" s="14" t="n">
        <v>5009302</v>
      </c>
      <c r="L45" s="13" t="s">
        <v>46</v>
      </c>
      <c r="M45" s="13"/>
      <c r="N45" s="13" t="s">
        <v>87</v>
      </c>
      <c r="O45" s="10"/>
      <c r="P45" s="10"/>
      <c r="Q45" s="10"/>
      <c r="R45" s="10"/>
      <c r="S45" s="10"/>
      <c r="T45" s="10"/>
      <c r="U45" s="10"/>
      <c r="V45" s="10"/>
      <c r="W45" s="10"/>
      <c r="X45" s="10"/>
      <c r="Y45" s="10"/>
      <c r="Z45" s="10"/>
      <c r="AA45" s="10"/>
      <c r="AB45" s="10"/>
      <c r="AC45" s="10"/>
    </row>
    <row r="46" customFormat="false" ht="30" hidden="false" customHeight="true" outlineLevel="0" collapsed="false">
      <c r="A46" s="15"/>
      <c r="B46" s="7" t="n">
        <v>43</v>
      </c>
      <c r="C46" s="8" t="s">
        <v>182</v>
      </c>
      <c r="D46" s="7" t="s">
        <v>33</v>
      </c>
      <c r="E46" s="8" t="s">
        <v>183</v>
      </c>
      <c r="F46" s="7" t="s">
        <v>184</v>
      </c>
      <c r="G46" s="7" t="s">
        <v>44</v>
      </c>
      <c r="H46" s="8" t="s">
        <v>96</v>
      </c>
      <c r="I46" s="7" t="n">
        <v>1</v>
      </c>
      <c r="J46" s="7" t="n">
        <v>0</v>
      </c>
      <c r="K46" s="9" t="n">
        <v>5009302</v>
      </c>
      <c r="L46" s="8" t="s">
        <v>46</v>
      </c>
      <c r="M46" s="8"/>
      <c r="N46" s="8" t="s">
        <v>87</v>
      </c>
      <c r="O46" s="10"/>
      <c r="P46" s="10"/>
      <c r="Q46" s="10"/>
      <c r="R46" s="10"/>
      <c r="S46" s="10"/>
      <c r="T46" s="10"/>
      <c r="U46" s="10"/>
      <c r="V46" s="10"/>
      <c r="W46" s="10"/>
      <c r="X46" s="10"/>
      <c r="Y46" s="10"/>
      <c r="Z46" s="10"/>
      <c r="AA46" s="10"/>
      <c r="AB46" s="10"/>
      <c r="AC46" s="10"/>
    </row>
    <row r="47" customFormat="false" ht="30" hidden="false" customHeight="true" outlineLevel="0" collapsed="false">
      <c r="A47" s="16"/>
      <c r="B47" s="12" t="n">
        <v>44</v>
      </c>
      <c r="C47" s="13" t="s">
        <v>185</v>
      </c>
      <c r="D47" s="12"/>
      <c r="E47" s="13"/>
      <c r="F47" s="12" t="s">
        <v>186</v>
      </c>
      <c r="G47" s="12" t="s">
        <v>44</v>
      </c>
      <c r="H47" s="13" t="s">
        <v>187</v>
      </c>
      <c r="I47" s="12" t="n">
        <v>1</v>
      </c>
      <c r="J47" s="12" t="n">
        <v>0</v>
      </c>
      <c r="K47" s="14" t="n">
        <v>5009302</v>
      </c>
      <c r="L47" s="13" t="s">
        <v>46</v>
      </c>
      <c r="M47" s="13"/>
      <c r="N47" s="13" t="s">
        <v>87</v>
      </c>
      <c r="O47" s="10"/>
      <c r="P47" s="10"/>
      <c r="Q47" s="10"/>
      <c r="R47" s="10"/>
      <c r="S47" s="10"/>
      <c r="T47" s="10"/>
      <c r="U47" s="10"/>
      <c r="V47" s="10"/>
      <c r="W47" s="10"/>
      <c r="X47" s="10"/>
      <c r="Y47" s="10"/>
      <c r="Z47" s="10"/>
      <c r="AA47" s="10"/>
      <c r="AB47" s="10"/>
      <c r="AC47" s="10"/>
    </row>
    <row r="48" customFormat="false" ht="30" hidden="false" customHeight="true" outlineLevel="0" collapsed="false">
      <c r="A48" s="15"/>
      <c r="B48" s="7" t="n">
        <v>45</v>
      </c>
      <c r="C48" s="8" t="s">
        <v>188</v>
      </c>
      <c r="D48" s="7" t="s">
        <v>33</v>
      </c>
      <c r="E48" s="8" t="s">
        <v>189</v>
      </c>
      <c r="F48" s="7" t="s">
        <v>190</v>
      </c>
      <c r="G48" s="7" t="s">
        <v>44</v>
      </c>
      <c r="H48" s="8" t="s">
        <v>191</v>
      </c>
      <c r="I48" s="7" t="n">
        <v>1</v>
      </c>
      <c r="J48" s="7" t="n">
        <v>0</v>
      </c>
      <c r="K48" s="9" t="n">
        <v>5009302</v>
      </c>
      <c r="L48" s="8" t="s">
        <v>46</v>
      </c>
      <c r="M48" s="8"/>
      <c r="N48" s="8" t="s">
        <v>87</v>
      </c>
      <c r="O48" s="10"/>
      <c r="P48" s="10"/>
      <c r="Q48" s="10"/>
      <c r="R48" s="10"/>
      <c r="S48" s="10"/>
      <c r="T48" s="10"/>
      <c r="U48" s="10"/>
      <c r="V48" s="10"/>
      <c r="W48" s="10"/>
      <c r="X48" s="10"/>
      <c r="Y48" s="10"/>
      <c r="Z48" s="10"/>
      <c r="AA48" s="10"/>
      <c r="AB48" s="10"/>
      <c r="AC48" s="10"/>
    </row>
    <row r="49" customFormat="false" ht="30" hidden="false" customHeight="true" outlineLevel="0" collapsed="false">
      <c r="A49" s="16"/>
      <c r="B49" s="12" t="n">
        <v>46</v>
      </c>
      <c r="C49" s="13" t="s">
        <v>192</v>
      </c>
      <c r="D49" s="12" t="s">
        <v>33</v>
      </c>
      <c r="E49" s="13" t="s">
        <v>193</v>
      </c>
      <c r="F49" s="12" t="s">
        <v>190</v>
      </c>
      <c r="G49" s="12" t="s">
        <v>44</v>
      </c>
      <c r="H49" s="13" t="s">
        <v>126</v>
      </c>
      <c r="I49" s="12" t="n">
        <v>1</v>
      </c>
      <c r="J49" s="12" t="n">
        <v>0</v>
      </c>
      <c r="K49" s="14" t="n">
        <v>5009302</v>
      </c>
      <c r="L49" s="13" t="s">
        <v>46</v>
      </c>
      <c r="M49" s="13"/>
      <c r="N49" s="13" t="s">
        <v>87</v>
      </c>
      <c r="O49" s="10"/>
      <c r="P49" s="10"/>
      <c r="Q49" s="10"/>
      <c r="R49" s="10"/>
      <c r="S49" s="10"/>
      <c r="T49" s="10"/>
      <c r="U49" s="10"/>
      <c r="V49" s="10"/>
      <c r="W49" s="10"/>
      <c r="X49" s="10"/>
      <c r="Y49" s="10"/>
      <c r="Z49" s="10"/>
      <c r="AA49" s="10"/>
      <c r="AB49" s="10"/>
      <c r="AC49" s="10"/>
    </row>
    <row r="50" customFormat="false" ht="30" hidden="false" customHeight="true" outlineLevel="0" collapsed="false">
      <c r="A50" s="15"/>
      <c r="B50" s="7" t="n">
        <v>47</v>
      </c>
      <c r="C50" s="8" t="s">
        <v>194</v>
      </c>
      <c r="D50" s="7"/>
      <c r="E50" s="8"/>
      <c r="F50" s="7"/>
      <c r="G50" s="7" t="s">
        <v>44</v>
      </c>
      <c r="H50" s="8" t="s">
        <v>45</v>
      </c>
      <c r="I50" s="7" t="n">
        <v>1</v>
      </c>
      <c r="J50" s="7" t="n">
        <v>0</v>
      </c>
      <c r="K50" s="9" t="n">
        <v>5009302</v>
      </c>
      <c r="L50" s="8" t="s">
        <v>46</v>
      </c>
      <c r="M50" s="8"/>
      <c r="N50" s="8" t="s">
        <v>87</v>
      </c>
      <c r="O50" s="10"/>
      <c r="P50" s="10"/>
      <c r="Q50" s="10"/>
      <c r="R50" s="10"/>
      <c r="S50" s="10"/>
      <c r="T50" s="10"/>
      <c r="U50" s="10"/>
      <c r="V50" s="10"/>
      <c r="W50" s="10"/>
      <c r="X50" s="10"/>
      <c r="Y50" s="10"/>
      <c r="Z50" s="10"/>
      <c r="AA50" s="10"/>
      <c r="AB50" s="10"/>
      <c r="AC50" s="10"/>
    </row>
    <row r="51" customFormat="false" ht="30" hidden="false" customHeight="true" outlineLevel="0" collapsed="false">
      <c r="A51" s="16"/>
      <c r="B51" s="12" t="n">
        <v>48</v>
      </c>
      <c r="C51" s="13" t="s">
        <v>195</v>
      </c>
      <c r="D51" s="12" t="s">
        <v>33</v>
      </c>
      <c r="E51" s="13" t="s">
        <v>196</v>
      </c>
      <c r="F51" s="12" t="s">
        <v>197</v>
      </c>
      <c r="G51" s="12" t="s">
        <v>44</v>
      </c>
      <c r="H51" s="13" t="s">
        <v>126</v>
      </c>
      <c r="I51" s="12" t="n">
        <v>1</v>
      </c>
      <c r="J51" s="12" t="n">
        <v>0</v>
      </c>
      <c r="K51" s="14" t="n">
        <v>5009302</v>
      </c>
      <c r="L51" s="13" t="s">
        <v>46</v>
      </c>
      <c r="M51" s="13"/>
      <c r="N51" s="13" t="s">
        <v>87</v>
      </c>
      <c r="O51" s="10"/>
      <c r="P51" s="10"/>
      <c r="Q51" s="10"/>
      <c r="R51" s="10"/>
      <c r="S51" s="10"/>
      <c r="T51" s="10"/>
      <c r="U51" s="10"/>
      <c r="V51" s="10"/>
      <c r="W51" s="10"/>
      <c r="X51" s="10"/>
      <c r="Y51" s="10"/>
      <c r="Z51" s="10"/>
      <c r="AA51" s="10"/>
      <c r="AB51" s="10"/>
      <c r="AC51" s="10"/>
    </row>
    <row r="52" customFormat="false" ht="30" hidden="false" customHeight="true" outlineLevel="0" collapsed="false">
      <c r="A52" s="15"/>
      <c r="B52" s="7" t="n">
        <v>49</v>
      </c>
      <c r="C52" s="8" t="s">
        <v>198</v>
      </c>
      <c r="D52" s="7"/>
      <c r="E52" s="8"/>
      <c r="F52" s="7" t="s">
        <v>199</v>
      </c>
      <c r="G52" s="7" t="s">
        <v>44</v>
      </c>
      <c r="H52" s="8" t="s">
        <v>200</v>
      </c>
      <c r="I52" s="7" t="n">
        <v>1</v>
      </c>
      <c r="J52" s="7" t="n">
        <v>0</v>
      </c>
      <c r="K52" s="9" t="n">
        <v>5009302</v>
      </c>
      <c r="L52" s="8" t="s">
        <v>46</v>
      </c>
      <c r="M52" s="8"/>
      <c r="N52" s="8" t="s">
        <v>87</v>
      </c>
      <c r="O52" s="10"/>
      <c r="P52" s="10"/>
      <c r="Q52" s="10"/>
      <c r="R52" s="10"/>
      <c r="S52" s="10"/>
      <c r="T52" s="10"/>
      <c r="U52" s="10"/>
      <c r="V52" s="10"/>
      <c r="W52" s="10"/>
      <c r="X52" s="10"/>
      <c r="Y52" s="10"/>
      <c r="Z52" s="10"/>
      <c r="AA52" s="10"/>
      <c r="AB52" s="10"/>
      <c r="AC52" s="10"/>
    </row>
    <row r="53" customFormat="false" ht="30" hidden="false" customHeight="true" outlineLevel="0" collapsed="false">
      <c r="A53" s="16"/>
      <c r="B53" s="12" t="n">
        <v>50</v>
      </c>
      <c r="C53" s="13" t="s">
        <v>201</v>
      </c>
      <c r="D53" s="12"/>
      <c r="E53" s="13"/>
      <c r="F53" s="12" t="s">
        <v>202</v>
      </c>
      <c r="G53" s="12" t="s">
        <v>44</v>
      </c>
      <c r="H53" s="13" t="s">
        <v>200</v>
      </c>
      <c r="I53" s="12" t="n">
        <v>1</v>
      </c>
      <c r="J53" s="12" t="n">
        <v>0</v>
      </c>
      <c r="K53" s="14" t="n">
        <v>5009302</v>
      </c>
      <c r="L53" s="13" t="s">
        <v>46</v>
      </c>
      <c r="M53" s="13"/>
      <c r="N53" s="13" t="s">
        <v>87</v>
      </c>
      <c r="O53" s="10"/>
      <c r="P53" s="10"/>
      <c r="Q53" s="10"/>
      <c r="R53" s="10"/>
      <c r="S53" s="10"/>
      <c r="T53" s="10"/>
      <c r="U53" s="10"/>
      <c r="V53" s="10"/>
      <c r="W53" s="10"/>
      <c r="X53" s="10"/>
      <c r="Y53" s="10"/>
      <c r="Z53" s="10"/>
      <c r="AA53" s="10"/>
      <c r="AB53" s="10"/>
      <c r="AC53" s="10"/>
    </row>
    <row r="54" customFormat="false" ht="30" hidden="false" customHeight="true" outlineLevel="0" collapsed="false">
      <c r="A54" s="15"/>
      <c r="B54" s="7" t="n">
        <v>51</v>
      </c>
      <c r="C54" s="8" t="s">
        <v>203</v>
      </c>
      <c r="D54" s="7"/>
      <c r="E54" s="8"/>
      <c r="F54" s="7" t="s">
        <v>204</v>
      </c>
      <c r="G54" s="7" t="s">
        <v>44</v>
      </c>
      <c r="H54" s="8" t="s">
        <v>200</v>
      </c>
      <c r="I54" s="7" t="n">
        <v>1</v>
      </c>
      <c r="J54" s="7" t="n">
        <v>0</v>
      </c>
      <c r="K54" s="9" t="n">
        <v>5009302</v>
      </c>
      <c r="L54" s="8" t="s">
        <v>46</v>
      </c>
      <c r="M54" s="8"/>
      <c r="N54" s="8" t="s">
        <v>87</v>
      </c>
      <c r="O54" s="10"/>
      <c r="P54" s="10"/>
      <c r="Q54" s="10"/>
      <c r="R54" s="10"/>
      <c r="S54" s="10"/>
      <c r="T54" s="10"/>
      <c r="U54" s="10"/>
      <c r="V54" s="10"/>
      <c r="W54" s="10"/>
      <c r="X54" s="10"/>
      <c r="Y54" s="10"/>
      <c r="Z54" s="10"/>
      <c r="AA54" s="10"/>
      <c r="AB54" s="10"/>
      <c r="AC54" s="10"/>
    </row>
    <row r="55" customFormat="false" ht="30" hidden="false" customHeight="true" outlineLevel="0" collapsed="false">
      <c r="A55" s="16"/>
      <c r="B55" s="12" t="n">
        <v>52</v>
      </c>
      <c r="C55" s="13" t="s">
        <v>205</v>
      </c>
      <c r="D55" s="12"/>
      <c r="E55" s="13"/>
      <c r="F55" s="12" t="s">
        <v>206</v>
      </c>
      <c r="G55" s="12" t="s">
        <v>44</v>
      </c>
      <c r="H55" s="13" t="s">
        <v>136</v>
      </c>
      <c r="I55" s="12" t="n">
        <v>1</v>
      </c>
      <c r="J55" s="12" t="n">
        <v>0</v>
      </c>
      <c r="K55" s="14" t="n">
        <v>5009302</v>
      </c>
      <c r="L55" s="13" t="s">
        <v>46</v>
      </c>
      <c r="M55" s="13"/>
      <c r="N55" s="13" t="s">
        <v>87</v>
      </c>
      <c r="O55" s="10"/>
      <c r="P55" s="10"/>
      <c r="Q55" s="10"/>
      <c r="R55" s="10"/>
      <c r="S55" s="10"/>
      <c r="T55" s="10"/>
      <c r="U55" s="10"/>
      <c r="V55" s="10"/>
      <c r="W55" s="10"/>
      <c r="X55" s="10"/>
      <c r="Y55" s="10"/>
      <c r="Z55" s="10"/>
      <c r="AA55" s="10"/>
      <c r="AB55" s="10"/>
      <c r="AC55" s="10"/>
    </row>
    <row r="56" customFormat="false" ht="30" hidden="false" customHeight="true" outlineLevel="0" collapsed="false">
      <c r="A56" s="6" t="s">
        <v>3</v>
      </c>
      <c r="B56" s="7" t="n">
        <v>53</v>
      </c>
      <c r="C56" s="8" t="s">
        <v>207</v>
      </c>
      <c r="D56" s="7" t="s">
        <v>208</v>
      </c>
      <c r="E56" s="8"/>
      <c r="F56" s="7" t="s">
        <v>209</v>
      </c>
      <c r="G56" s="7" t="s">
        <v>210</v>
      </c>
      <c r="H56" s="8" t="s">
        <v>211</v>
      </c>
      <c r="I56" s="7" t="n">
        <v>10</v>
      </c>
      <c r="J56" s="7" t="n">
        <v>154</v>
      </c>
      <c r="K56" s="9" t="n">
        <v>3013945</v>
      </c>
      <c r="L56" s="8" t="s">
        <v>212</v>
      </c>
      <c r="M56" s="8" t="s">
        <v>213</v>
      </c>
      <c r="N56" s="8" t="s">
        <v>39</v>
      </c>
      <c r="O56" s="10"/>
      <c r="P56" s="10"/>
      <c r="Q56" s="10"/>
      <c r="R56" s="10"/>
      <c r="S56" s="10"/>
      <c r="T56" s="10"/>
      <c r="U56" s="10"/>
      <c r="V56" s="10"/>
      <c r="W56" s="10"/>
      <c r="X56" s="10"/>
      <c r="Y56" s="10"/>
      <c r="Z56" s="10"/>
      <c r="AA56" s="10"/>
      <c r="AB56" s="10"/>
      <c r="AC56" s="10"/>
    </row>
    <row r="57" customFormat="false" ht="30" hidden="false" customHeight="true" outlineLevel="0" collapsed="false">
      <c r="A57" s="11" t="s">
        <v>3</v>
      </c>
      <c r="B57" s="12" t="n">
        <v>54</v>
      </c>
      <c r="C57" s="13" t="s">
        <v>214</v>
      </c>
      <c r="D57" s="12" t="s">
        <v>215</v>
      </c>
      <c r="E57" s="13"/>
      <c r="F57" s="12" t="s">
        <v>216</v>
      </c>
      <c r="G57" s="12" t="s">
        <v>217</v>
      </c>
      <c r="H57" s="13" t="s">
        <v>218</v>
      </c>
      <c r="I57" s="12" t="n">
        <v>19</v>
      </c>
      <c r="J57" s="12" t="n">
        <v>198</v>
      </c>
      <c r="K57" s="14" t="n">
        <v>2952503</v>
      </c>
      <c r="L57" s="13" t="s">
        <v>219</v>
      </c>
      <c r="M57" s="13" t="s">
        <v>220</v>
      </c>
      <c r="N57" s="13" t="s">
        <v>39</v>
      </c>
      <c r="O57" s="10"/>
      <c r="P57" s="10"/>
      <c r="Q57" s="10"/>
      <c r="R57" s="10"/>
      <c r="S57" s="10"/>
      <c r="T57" s="10"/>
      <c r="U57" s="10"/>
      <c r="V57" s="10"/>
      <c r="W57" s="10"/>
      <c r="X57" s="10"/>
      <c r="Y57" s="10"/>
      <c r="Z57" s="10"/>
      <c r="AA57" s="10"/>
      <c r="AB57" s="10"/>
      <c r="AC57" s="10"/>
    </row>
    <row r="58" customFormat="false" ht="30" hidden="false" customHeight="true" outlineLevel="0" collapsed="false">
      <c r="A58" s="6" t="s">
        <v>3</v>
      </c>
      <c r="B58" s="7" t="n">
        <v>55</v>
      </c>
      <c r="C58" s="8" t="s">
        <v>221</v>
      </c>
      <c r="D58" s="7" t="s">
        <v>222</v>
      </c>
      <c r="E58" s="8"/>
      <c r="F58" s="7" t="s">
        <v>223</v>
      </c>
      <c r="G58" s="7" t="s">
        <v>217</v>
      </c>
      <c r="H58" s="8" t="s">
        <v>218</v>
      </c>
      <c r="I58" s="7" t="n">
        <v>1</v>
      </c>
      <c r="J58" s="7" t="n">
        <v>127</v>
      </c>
      <c r="K58" s="9" t="n">
        <v>2823843</v>
      </c>
      <c r="L58" s="8" t="s">
        <v>222</v>
      </c>
      <c r="M58" s="8" t="s">
        <v>224</v>
      </c>
      <c r="N58" s="8" t="s">
        <v>39</v>
      </c>
      <c r="O58" s="10"/>
      <c r="P58" s="10"/>
      <c r="Q58" s="10"/>
      <c r="R58" s="10"/>
      <c r="S58" s="10"/>
      <c r="T58" s="10"/>
      <c r="U58" s="10"/>
      <c r="V58" s="10"/>
      <c r="W58" s="10"/>
      <c r="X58" s="10"/>
      <c r="Y58" s="10"/>
      <c r="Z58" s="10"/>
      <c r="AA58" s="10"/>
      <c r="AB58" s="10"/>
      <c r="AC58" s="10"/>
    </row>
    <row r="59" customFormat="false" ht="30" hidden="false" customHeight="true" outlineLevel="0" collapsed="false">
      <c r="A59" s="11" t="s">
        <v>3</v>
      </c>
      <c r="B59" s="12" t="n">
        <v>56</v>
      </c>
      <c r="C59" s="13" t="s">
        <v>225</v>
      </c>
      <c r="D59" s="12" t="s">
        <v>222</v>
      </c>
      <c r="E59" s="13"/>
      <c r="F59" s="12" t="s">
        <v>226</v>
      </c>
      <c r="G59" s="12" t="s">
        <v>217</v>
      </c>
      <c r="H59" s="13" t="s">
        <v>218</v>
      </c>
      <c r="I59" s="12" t="n">
        <v>1</v>
      </c>
      <c r="J59" s="12" t="n">
        <v>127</v>
      </c>
      <c r="K59" s="14" t="n">
        <v>2823843</v>
      </c>
      <c r="L59" s="13" t="s">
        <v>222</v>
      </c>
      <c r="M59" s="13" t="s">
        <v>224</v>
      </c>
      <c r="N59" s="13" t="s">
        <v>39</v>
      </c>
      <c r="O59" s="10"/>
      <c r="P59" s="10"/>
      <c r="Q59" s="10"/>
      <c r="R59" s="10"/>
      <c r="S59" s="10"/>
      <c r="T59" s="10"/>
      <c r="U59" s="10"/>
      <c r="V59" s="10"/>
      <c r="W59" s="10"/>
      <c r="X59" s="10"/>
      <c r="Y59" s="10"/>
      <c r="Z59" s="10"/>
      <c r="AA59" s="10"/>
      <c r="AB59" s="10"/>
      <c r="AC59" s="10"/>
    </row>
    <row r="60" customFormat="false" ht="30" hidden="false" customHeight="true" outlineLevel="0" collapsed="false">
      <c r="A60" s="6" t="s">
        <v>3</v>
      </c>
      <c r="B60" s="7" t="n">
        <v>57</v>
      </c>
      <c r="C60" s="8" t="s">
        <v>227</v>
      </c>
      <c r="D60" s="7" t="s">
        <v>228</v>
      </c>
      <c r="E60" s="8"/>
      <c r="F60" s="7" t="s">
        <v>229</v>
      </c>
      <c r="G60" s="7" t="s">
        <v>217</v>
      </c>
      <c r="H60" s="8" t="s">
        <v>218</v>
      </c>
      <c r="I60" s="7" t="n">
        <v>12</v>
      </c>
      <c r="J60" s="7" t="n">
        <v>169</v>
      </c>
      <c r="K60" s="9" t="n">
        <v>2679447</v>
      </c>
      <c r="L60" s="8" t="s">
        <v>230</v>
      </c>
      <c r="M60" s="8" t="s">
        <v>231</v>
      </c>
      <c r="N60" s="8" t="s">
        <v>39</v>
      </c>
      <c r="O60" s="10"/>
      <c r="P60" s="10"/>
      <c r="Q60" s="10"/>
      <c r="R60" s="10"/>
      <c r="S60" s="10"/>
      <c r="T60" s="10"/>
      <c r="U60" s="10"/>
      <c r="V60" s="10"/>
      <c r="W60" s="10"/>
      <c r="X60" s="10"/>
      <c r="Y60" s="10"/>
      <c r="Z60" s="10"/>
      <c r="AA60" s="10"/>
      <c r="AB60" s="10"/>
      <c r="AC60" s="10"/>
    </row>
    <row r="61" customFormat="false" ht="30" hidden="false" customHeight="true" outlineLevel="0" collapsed="false">
      <c r="A61" s="16"/>
      <c r="B61" s="12" t="n">
        <v>58</v>
      </c>
      <c r="C61" s="13" t="s">
        <v>232</v>
      </c>
      <c r="D61" s="12" t="s">
        <v>233</v>
      </c>
      <c r="E61" s="13"/>
      <c r="F61" s="12" t="s">
        <v>234</v>
      </c>
      <c r="G61" s="12" t="s">
        <v>217</v>
      </c>
      <c r="H61" s="13" t="s">
        <v>218</v>
      </c>
      <c r="I61" s="12" t="n">
        <v>30</v>
      </c>
      <c r="J61" s="12" t="n">
        <v>254</v>
      </c>
      <c r="K61" s="14" t="n">
        <v>2411544</v>
      </c>
      <c r="L61" s="13" t="s">
        <v>235</v>
      </c>
      <c r="M61" s="13" t="s">
        <v>236</v>
      </c>
      <c r="N61" s="13" t="s">
        <v>39</v>
      </c>
      <c r="O61" s="10"/>
      <c r="P61" s="10"/>
      <c r="Q61" s="10"/>
      <c r="R61" s="10"/>
      <c r="S61" s="10"/>
      <c r="T61" s="10"/>
      <c r="U61" s="10"/>
      <c r="V61" s="10"/>
      <c r="W61" s="10"/>
      <c r="X61" s="10"/>
      <c r="Y61" s="10"/>
      <c r="Z61" s="10"/>
      <c r="AA61" s="10"/>
      <c r="AB61" s="10"/>
      <c r="AC61" s="10"/>
    </row>
    <row r="62" customFormat="false" ht="30" hidden="false" customHeight="true" outlineLevel="0" collapsed="false">
      <c r="A62" s="6" t="s">
        <v>3</v>
      </c>
      <c r="B62" s="7" t="n">
        <v>59</v>
      </c>
      <c r="C62" s="8" t="s">
        <v>237</v>
      </c>
      <c r="D62" s="7" t="s">
        <v>238</v>
      </c>
      <c r="E62" s="8"/>
      <c r="F62" s="7" t="s">
        <v>239</v>
      </c>
      <c r="G62" s="7" t="s">
        <v>217</v>
      </c>
      <c r="H62" s="8" t="s">
        <v>218</v>
      </c>
      <c r="I62" s="7" t="n">
        <v>1</v>
      </c>
      <c r="J62" s="7" t="n">
        <v>91</v>
      </c>
      <c r="K62" s="9" t="n">
        <v>2373979</v>
      </c>
      <c r="L62" s="8" t="s">
        <v>240</v>
      </c>
      <c r="M62" s="8" t="s">
        <v>241</v>
      </c>
      <c r="N62" s="8" t="s">
        <v>39</v>
      </c>
      <c r="O62" s="10"/>
      <c r="P62" s="10"/>
      <c r="Q62" s="10"/>
      <c r="R62" s="10"/>
      <c r="S62" s="10"/>
      <c r="T62" s="10"/>
      <c r="U62" s="10"/>
      <c r="V62" s="10"/>
      <c r="W62" s="10"/>
      <c r="X62" s="10"/>
      <c r="Y62" s="10"/>
      <c r="Z62" s="10"/>
      <c r="AA62" s="10"/>
      <c r="AB62" s="10"/>
      <c r="AC62" s="10"/>
    </row>
    <row r="63" customFormat="false" ht="30" hidden="false" customHeight="true" outlineLevel="0" collapsed="false">
      <c r="A63" s="11" t="s">
        <v>3</v>
      </c>
      <c r="B63" s="12" t="n">
        <v>60</v>
      </c>
      <c r="C63" s="13" t="s">
        <v>242</v>
      </c>
      <c r="D63" s="12" t="s">
        <v>228</v>
      </c>
      <c r="E63" s="13"/>
      <c r="F63" s="12" t="s">
        <v>243</v>
      </c>
      <c r="G63" s="12" t="s">
        <v>217</v>
      </c>
      <c r="H63" s="13" t="s">
        <v>218</v>
      </c>
      <c r="I63" s="12" t="n">
        <v>1</v>
      </c>
      <c r="J63" s="12" t="n">
        <v>97</v>
      </c>
      <c r="K63" s="14" t="n">
        <v>2107424</v>
      </c>
      <c r="L63" s="13" t="s">
        <v>244</v>
      </c>
      <c r="M63" s="13" t="s">
        <v>245</v>
      </c>
      <c r="N63" s="13" t="s">
        <v>39</v>
      </c>
      <c r="O63" s="10"/>
      <c r="P63" s="10"/>
      <c r="Q63" s="10"/>
      <c r="R63" s="10"/>
      <c r="S63" s="10"/>
      <c r="T63" s="10"/>
      <c r="U63" s="10"/>
      <c r="V63" s="10"/>
      <c r="W63" s="10"/>
      <c r="X63" s="10"/>
      <c r="Y63" s="10"/>
      <c r="Z63" s="10"/>
      <c r="AA63" s="10"/>
      <c r="AB63" s="10"/>
      <c r="AC63" s="10"/>
    </row>
    <row r="64" customFormat="false" ht="30" hidden="false" customHeight="true" outlineLevel="0" collapsed="false">
      <c r="A64" s="6" t="s">
        <v>3</v>
      </c>
      <c r="B64" s="7" t="n">
        <v>61</v>
      </c>
      <c r="C64" s="8" t="s">
        <v>246</v>
      </c>
      <c r="D64" s="7" t="s">
        <v>228</v>
      </c>
      <c r="E64" s="8"/>
      <c r="F64" s="7" t="s">
        <v>247</v>
      </c>
      <c r="G64" s="7" t="s">
        <v>217</v>
      </c>
      <c r="H64" s="8" t="s">
        <v>218</v>
      </c>
      <c r="I64" s="7" t="n">
        <v>1</v>
      </c>
      <c r="J64" s="7" t="n">
        <v>97</v>
      </c>
      <c r="K64" s="9" t="n">
        <v>2107424</v>
      </c>
      <c r="L64" s="8" t="s">
        <v>244</v>
      </c>
      <c r="M64" s="8" t="s">
        <v>245</v>
      </c>
      <c r="N64" s="8" t="s">
        <v>39</v>
      </c>
      <c r="O64" s="10"/>
      <c r="P64" s="10"/>
      <c r="Q64" s="10"/>
      <c r="R64" s="10"/>
      <c r="S64" s="10"/>
      <c r="T64" s="10"/>
      <c r="U64" s="10"/>
      <c r="V64" s="10"/>
      <c r="W64" s="10"/>
      <c r="X64" s="10"/>
      <c r="Y64" s="10"/>
      <c r="Z64" s="10"/>
      <c r="AA64" s="10"/>
      <c r="AB64" s="10"/>
      <c r="AC64" s="10"/>
    </row>
    <row r="65" customFormat="false" ht="30" hidden="false" customHeight="true" outlineLevel="0" collapsed="false">
      <c r="A65" s="11" t="s">
        <v>3</v>
      </c>
      <c r="B65" s="12" t="n">
        <v>62</v>
      </c>
      <c r="C65" s="13" t="s">
        <v>248</v>
      </c>
      <c r="D65" s="12" t="s">
        <v>249</v>
      </c>
      <c r="E65" s="13"/>
      <c r="F65" s="12" t="s">
        <v>250</v>
      </c>
      <c r="G65" s="12" t="s">
        <v>217</v>
      </c>
      <c r="H65" s="13" t="s">
        <v>218</v>
      </c>
      <c r="I65" s="12" t="n">
        <v>14</v>
      </c>
      <c r="J65" s="12" t="n">
        <v>108</v>
      </c>
      <c r="K65" s="14" t="n">
        <v>1859565</v>
      </c>
      <c r="L65" s="13" t="s">
        <v>251</v>
      </c>
      <c r="M65" s="13" t="s">
        <v>252</v>
      </c>
      <c r="N65" s="13" t="s">
        <v>39</v>
      </c>
      <c r="O65" s="10"/>
      <c r="P65" s="10"/>
      <c r="Q65" s="10"/>
      <c r="R65" s="10"/>
      <c r="S65" s="10"/>
      <c r="T65" s="10"/>
      <c r="U65" s="10"/>
      <c r="V65" s="10"/>
      <c r="W65" s="10"/>
      <c r="X65" s="10"/>
      <c r="Y65" s="10"/>
      <c r="Z65" s="10"/>
      <c r="AA65" s="10"/>
      <c r="AB65" s="10"/>
      <c r="AC65" s="10"/>
    </row>
    <row r="66" customFormat="false" ht="30" hidden="false" customHeight="true" outlineLevel="0" collapsed="false">
      <c r="A66" s="6" t="s">
        <v>3</v>
      </c>
      <c r="B66" s="7" t="n">
        <v>63</v>
      </c>
      <c r="C66" s="8" t="s">
        <v>253</v>
      </c>
      <c r="D66" s="7" t="s">
        <v>254</v>
      </c>
      <c r="E66" s="8"/>
      <c r="F66" s="7" t="s">
        <v>255</v>
      </c>
      <c r="G66" s="7" t="s">
        <v>217</v>
      </c>
      <c r="H66" s="8" t="s">
        <v>218</v>
      </c>
      <c r="I66" s="7" t="n">
        <v>10</v>
      </c>
      <c r="J66" s="7" t="n">
        <v>100</v>
      </c>
      <c r="K66" s="9" t="n">
        <v>1670147</v>
      </c>
      <c r="L66" s="8" t="s">
        <v>256</v>
      </c>
      <c r="M66" s="8" t="s">
        <v>257</v>
      </c>
      <c r="N66" s="8" t="s">
        <v>39</v>
      </c>
      <c r="O66" s="10"/>
      <c r="P66" s="10"/>
      <c r="Q66" s="10"/>
      <c r="R66" s="10"/>
      <c r="S66" s="10"/>
      <c r="T66" s="10"/>
      <c r="U66" s="10"/>
      <c r="V66" s="10"/>
      <c r="W66" s="10"/>
      <c r="X66" s="10"/>
      <c r="Y66" s="10"/>
      <c r="Z66" s="10"/>
      <c r="AA66" s="10"/>
      <c r="AB66" s="10"/>
      <c r="AC66" s="10"/>
    </row>
    <row r="67" customFormat="false" ht="30" hidden="false" customHeight="true" outlineLevel="0" collapsed="false">
      <c r="A67" s="11" t="s">
        <v>3</v>
      </c>
      <c r="B67" s="12" t="n">
        <v>64</v>
      </c>
      <c r="C67" s="13" t="s">
        <v>258</v>
      </c>
      <c r="D67" s="12" t="s">
        <v>259</v>
      </c>
      <c r="E67" s="13"/>
      <c r="F67" s="12" t="s">
        <v>260</v>
      </c>
      <c r="G67" s="12" t="s">
        <v>217</v>
      </c>
      <c r="H67" s="13" t="s">
        <v>218</v>
      </c>
      <c r="I67" s="12" t="n">
        <v>1</v>
      </c>
      <c r="J67" s="12" t="n">
        <v>74</v>
      </c>
      <c r="K67" s="14" t="n">
        <v>1642866</v>
      </c>
      <c r="L67" s="13" t="s">
        <v>261</v>
      </c>
      <c r="M67" s="13" t="s">
        <v>262</v>
      </c>
      <c r="N67" s="13" t="s">
        <v>39</v>
      </c>
      <c r="O67" s="10"/>
      <c r="P67" s="10"/>
      <c r="Q67" s="10"/>
      <c r="R67" s="10"/>
      <c r="S67" s="10"/>
      <c r="T67" s="10"/>
      <c r="U67" s="10"/>
      <c r="V67" s="10"/>
      <c r="W67" s="10"/>
      <c r="X67" s="10"/>
      <c r="Y67" s="10"/>
      <c r="Z67" s="10"/>
      <c r="AA67" s="10"/>
      <c r="AB67" s="10"/>
      <c r="AC67" s="10"/>
    </row>
    <row r="68" customFormat="false" ht="30" hidden="false" customHeight="true" outlineLevel="0" collapsed="false">
      <c r="A68" s="6" t="s">
        <v>3</v>
      </c>
      <c r="B68" s="7" t="n">
        <v>65</v>
      </c>
      <c r="C68" s="8" t="s">
        <v>263</v>
      </c>
      <c r="D68" s="7" t="s">
        <v>259</v>
      </c>
      <c r="E68" s="8"/>
      <c r="F68" s="7" t="s">
        <v>264</v>
      </c>
      <c r="G68" s="7" t="s">
        <v>217</v>
      </c>
      <c r="H68" s="8" t="s">
        <v>218</v>
      </c>
      <c r="I68" s="7" t="n">
        <v>1</v>
      </c>
      <c r="J68" s="7" t="n">
        <v>74</v>
      </c>
      <c r="K68" s="9" t="n">
        <v>1642866</v>
      </c>
      <c r="L68" s="8" t="s">
        <v>261</v>
      </c>
      <c r="M68" s="8" t="s">
        <v>262</v>
      </c>
      <c r="N68" s="8" t="s">
        <v>39</v>
      </c>
      <c r="O68" s="10"/>
      <c r="P68" s="10"/>
      <c r="Q68" s="10"/>
      <c r="R68" s="10"/>
      <c r="S68" s="10"/>
      <c r="T68" s="10"/>
      <c r="U68" s="10"/>
      <c r="V68" s="10"/>
      <c r="W68" s="10"/>
      <c r="X68" s="10"/>
      <c r="Y68" s="10"/>
      <c r="Z68" s="10"/>
      <c r="AA68" s="10"/>
      <c r="AB68" s="10"/>
      <c r="AC68" s="10"/>
    </row>
    <row r="69" customFormat="false" ht="30" hidden="false" customHeight="true" outlineLevel="0" collapsed="false">
      <c r="A69" s="16"/>
      <c r="B69" s="12" t="n">
        <v>66</v>
      </c>
      <c r="C69" s="13" t="s">
        <v>265</v>
      </c>
      <c r="D69" s="12" t="s">
        <v>266</v>
      </c>
      <c r="E69" s="13"/>
      <c r="F69" s="12" t="s">
        <v>267</v>
      </c>
      <c r="G69" s="12" t="s">
        <v>217</v>
      </c>
      <c r="H69" s="13" t="s">
        <v>218</v>
      </c>
      <c r="I69" s="12" t="n">
        <v>13</v>
      </c>
      <c r="J69" s="12" t="n">
        <v>110</v>
      </c>
      <c r="K69" s="14" t="n">
        <v>1373509</v>
      </c>
      <c r="L69" s="13" t="s">
        <v>268</v>
      </c>
      <c r="M69" s="13" t="s">
        <v>269</v>
      </c>
      <c r="N69" s="13" t="s">
        <v>39</v>
      </c>
      <c r="O69" s="10"/>
      <c r="P69" s="10"/>
      <c r="Q69" s="10"/>
      <c r="R69" s="10"/>
      <c r="S69" s="10"/>
      <c r="T69" s="10"/>
      <c r="U69" s="10"/>
      <c r="V69" s="10"/>
      <c r="W69" s="10"/>
      <c r="X69" s="10"/>
      <c r="Y69" s="10"/>
      <c r="Z69" s="10"/>
      <c r="AA69" s="10"/>
      <c r="AB69" s="10"/>
      <c r="AC69" s="10"/>
    </row>
    <row r="70" customFormat="false" ht="30" hidden="false" customHeight="true" outlineLevel="0" collapsed="false">
      <c r="A70" s="15"/>
      <c r="B70" s="7" t="n">
        <v>67</v>
      </c>
      <c r="C70" s="8" t="s">
        <v>270</v>
      </c>
      <c r="D70" s="7" t="s">
        <v>271</v>
      </c>
      <c r="E70" s="8"/>
      <c r="F70" s="7" t="s">
        <v>272</v>
      </c>
      <c r="G70" s="7" t="s">
        <v>217</v>
      </c>
      <c r="H70" s="8" t="s">
        <v>218</v>
      </c>
      <c r="I70" s="7" t="n">
        <v>12</v>
      </c>
      <c r="J70" s="7" t="n">
        <v>91</v>
      </c>
      <c r="K70" s="9" t="n">
        <v>1354836</v>
      </c>
      <c r="L70" s="8" t="s">
        <v>273</v>
      </c>
      <c r="M70" s="8" t="s">
        <v>274</v>
      </c>
      <c r="N70" s="8" t="s">
        <v>39</v>
      </c>
      <c r="O70" s="10"/>
      <c r="P70" s="10"/>
      <c r="Q70" s="10"/>
      <c r="R70" s="10"/>
      <c r="S70" s="10"/>
      <c r="T70" s="10"/>
      <c r="U70" s="10"/>
      <c r="V70" s="10"/>
      <c r="W70" s="10"/>
      <c r="X70" s="10"/>
      <c r="Y70" s="10"/>
      <c r="Z70" s="10"/>
      <c r="AA70" s="10"/>
      <c r="AB70" s="10"/>
      <c r="AC70" s="10"/>
    </row>
    <row r="71" customFormat="false" ht="30" hidden="false" customHeight="true" outlineLevel="0" collapsed="false">
      <c r="A71" s="16"/>
      <c r="B71" s="12" t="n">
        <v>68</v>
      </c>
      <c r="C71" s="13" t="s">
        <v>275</v>
      </c>
      <c r="D71" s="12" t="s">
        <v>276</v>
      </c>
      <c r="E71" s="13"/>
      <c r="F71" s="12" t="s">
        <v>277</v>
      </c>
      <c r="G71" s="12" t="s">
        <v>217</v>
      </c>
      <c r="H71" s="13" t="s">
        <v>218</v>
      </c>
      <c r="I71" s="12" t="n">
        <v>30</v>
      </c>
      <c r="J71" s="12" t="n">
        <v>145</v>
      </c>
      <c r="K71" s="14" t="n">
        <v>1022973</v>
      </c>
      <c r="L71" s="13" t="s">
        <v>278</v>
      </c>
      <c r="M71" s="13" t="s">
        <v>279</v>
      </c>
      <c r="N71" s="13" t="s">
        <v>39</v>
      </c>
      <c r="O71" s="10"/>
      <c r="P71" s="10"/>
      <c r="Q71" s="10"/>
      <c r="R71" s="10"/>
      <c r="S71" s="10"/>
      <c r="T71" s="10"/>
      <c r="U71" s="10"/>
      <c r="V71" s="10"/>
      <c r="W71" s="10"/>
      <c r="X71" s="10"/>
      <c r="Y71" s="10"/>
      <c r="Z71" s="10"/>
      <c r="AA71" s="10"/>
      <c r="AB71" s="10"/>
      <c r="AC71" s="10"/>
    </row>
    <row r="72" customFormat="false" ht="30" hidden="false" customHeight="true" outlineLevel="0" collapsed="false">
      <c r="A72" s="15"/>
      <c r="B72" s="7" t="n">
        <v>69</v>
      </c>
      <c r="C72" s="8" t="s">
        <v>280</v>
      </c>
      <c r="D72" s="7" t="s">
        <v>281</v>
      </c>
      <c r="E72" s="8" t="s">
        <v>282</v>
      </c>
      <c r="F72" s="7" t="s">
        <v>283</v>
      </c>
      <c r="G72" s="7" t="s">
        <v>44</v>
      </c>
      <c r="H72" s="8" t="s">
        <v>45</v>
      </c>
      <c r="I72" s="7" t="n">
        <v>1</v>
      </c>
      <c r="J72" s="7" t="n">
        <v>0</v>
      </c>
      <c r="K72" s="9" t="n">
        <v>958434</v>
      </c>
      <c r="L72" s="8" t="s">
        <v>284</v>
      </c>
      <c r="M72" s="8"/>
      <c r="N72" s="8" t="s">
        <v>60</v>
      </c>
      <c r="O72" s="10"/>
      <c r="P72" s="10"/>
      <c r="Q72" s="10"/>
      <c r="R72" s="10"/>
      <c r="S72" s="10"/>
      <c r="T72" s="10"/>
      <c r="U72" s="10"/>
      <c r="V72" s="10"/>
      <c r="W72" s="10"/>
      <c r="X72" s="10"/>
      <c r="Y72" s="10"/>
      <c r="Z72" s="10"/>
      <c r="AA72" s="10"/>
      <c r="AB72" s="10"/>
      <c r="AC72" s="10"/>
    </row>
    <row r="73" customFormat="false" ht="30" hidden="false" customHeight="true" outlineLevel="0" collapsed="false">
      <c r="A73" s="16"/>
      <c r="B73" s="12" t="n">
        <v>70</v>
      </c>
      <c r="C73" s="13" t="s">
        <v>285</v>
      </c>
      <c r="D73" s="12" t="s">
        <v>286</v>
      </c>
      <c r="E73" s="13" t="s">
        <v>287</v>
      </c>
      <c r="F73" s="12" t="s">
        <v>69</v>
      </c>
      <c r="G73" s="12" t="s">
        <v>44</v>
      </c>
      <c r="H73" s="13" t="s">
        <v>70</v>
      </c>
      <c r="I73" s="12" t="n">
        <v>1</v>
      </c>
      <c r="J73" s="12" t="n">
        <v>0</v>
      </c>
      <c r="K73" s="14" t="n">
        <v>958434</v>
      </c>
      <c r="L73" s="13" t="s">
        <v>284</v>
      </c>
      <c r="M73" s="13"/>
      <c r="N73" s="13" t="s">
        <v>60</v>
      </c>
      <c r="O73" s="10"/>
      <c r="P73" s="10"/>
      <c r="Q73" s="10"/>
      <c r="R73" s="10"/>
      <c r="S73" s="10"/>
      <c r="T73" s="10"/>
      <c r="U73" s="10"/>
      <c r="V73" s="10"/>
      <c r="W73" s="10"/>
      <c r="X73" s="10"/>
      <c r="Y73" s="10"/>
      <c r="Z73" s="10"/>
      <c r="AA73" s="10"/>
      <c r="AB73" s="10"/>
      <c r="AC73" s="10"/>
    </row>
    <row r="74" customFormat="false" ht="30" hidden="false" customHeight="true" outlineLevel="0" collapsed="false">
      <c r="A74" s="15"/>
      <c r="B74" s="7" t="n">
        <v>71</v>
      </c>
      <c r="C74" s="8" t="s">
        <v>288</v>
      </c>
      <c r="D74" s="7" t="s">
        <v>289</v>
      </c>
      <c r="E74" s="8"/>
      <c r="F74" s="7" t="s">
        <v>290</v>
      </c>
      <c r="G74" s="7" t="s">
        <v>217</v>
      </c>
      <c r="H74" s="8" t="s">
        <v>218</v>
      </c>
      <c r="I74" s="7" t="n">
        <v>9</v>
      </c>
      <c r="J74" s="7" t="n">
        <v>111</v>
      </c>
      <c r="K74" s="9" t="n">
        <v>945408</v>
      </c>
      <c r="L74" s="8" t="s">
        <v>291</v>
      </c>
      <c r="M74" s="8" t="s">
        <v>292</v>
      </c>
      <c r="N74" s="8" t="s">
        <v>39</v>
      </c>
      <c r="O74" s="10"/>
      <c r="P74" s="10"/>
      <c r="Q74" s="10"/>
      <c r="R74" s="10"/>
      <c r="S74" s="10"/>
      <c r="T74" s="10"/>
      <c r="U74" s="10"/>
      <c r="V74" s="10"/>
      <c r="W74" s="10"/>
      <c r="X74" s="10"/>
      <c r="Y74" s="10"/>
      <c r="Z74" s="10"/>
      <c r="AA74" s="10"/>
      <c r="AB74" s="10"/>
      <c r="AC74" s="10"/>
    </row>
    <row r="75" customFormat="false" ht="30" hidden="false" customHeight="true" outlineLevel="0" collapsed="false">
      <c r="A75" s="11" t="s">
        <v>3</v>
      </c>
      <c r="B75" s="12" t="n">
        <v>72</v>
      </c>
      <c r="C75" s="13" t="s">
        <v>293</v>
      </c>
      <c r="D75" s="12" t="s">
        <v>294</v>
      </c>
      <c r="E75" s="13"/>
      <c r="F75" s="12" t="s">
        <v>295</v>
      </c>
      <c r="G75" s="12" t="s">
        <v>217</v>
      </c>
      <c r="H75" s="13" t="s">
        <v>218</v>
      </c>
      <c r="I75" s="12" t="n">
        <v>1</v>
      </c>
      <c r="J75" s="12" t="n">
        <v>28</v>
      </c>
      <c r="K75" s="14" t="n">
        <v>869184</v>
      </c>
      <c r="L75" s="13" t="s">
        <v>296</v>
      </c>
      <c r="M75" s="13" t="s">
        <v>297</v>
      </c>
      <c r="N75" s="13" t="s">
        <v>39</v>
      </c>
      <c r="O75" s="10"/>
      <c r="P75" s="10"/>
      <c r="Q75" s="10"/>
      <c r="R75" s="10"/>
      <c r="S75" s="10"/>
      <c r="T75" s="10"/>
      <c r="U75" s="10"/>
      <c r="V75" s="10"/>
      <c r="W75" s="10"/>
      <c r="X75" s="10"/>
      <c r="Y75" s="10"/>
      <c r="Z75" s="10"/>
      <c r="AA75" s="10"/>
      <c r="AB75" s="10"/>
      <c r="AC75" s="10"/>
    </row>
    <row r="76" customFormat="false" ht="30" hidden="false" customHeight="true" outlineLevel="0" collapsed="false">
      <c r="A76" s="15"/>
      <c r="B76" s="7" t="n">
        <v>73</v>
      </c>
      <c r="C76" s="8" t="s">
        <v>298</v>
      </c>
      <c r="D76" s="7" t="s">
        <v>299</v>
      </c>
      <c r="E76" s="8"/>
      <c r="F76" s="7" t="s">
        <v>300</v>
      </c>
      <c r="G76" s="7" t="s">
        <v>217</v>
      </c>
      <c r="H76" s="8" t="s">
        <v>218</v>
      </c>
      <c r="I76" s="7" t="n">
        <v>28</v>
      </c>
      <c r="J76" s="7" t="n">
        <v>149</v>
      </c>
      <c r="K76" s="9" t="n">
        <v>868903</v>
      </c>
      <c r="L76" s="8" t="s">
        <v>301</v>
      </c>
      <c r="M76" s="8" t="s">
        <v>302</v>
      </c>
      <c r="N76" s="8" t="s">
        <v>39</v>
      </c>
      <c r="O76" s="10"/>
      <c r="P76" s="10"/>
      <c r="Q76" s="10"/>
      <c r="R76" s="10"/>
      <c r="S76" s="10"/>
      <c r="T76" s="10"/>
      <c r="U76" s="10"/>
      <c r="V76" s="10"/>
      <c r="W76" s="10"/>
      <c r="X76" s="10"/>
      <c r="Y76" s="10"/>
      <c r="Z76" s="10"/>
      <c r="AA76" s="10"/>
      <c r="AB76" s="10"/>
      <c r="AC76" s="10"/>
    </row>
    <row r="77" customFormat="false" ht="30" hidden="false" customHeight="true" outlineLevel="0" collapsed="false">
      <c r="A77" s="11" t="s">
        <v>3</v>
      </c>
      <c r="B77" s="12" t="n">
        <v>74</v>
      </c>
      <c r="C77" s="13" t="s">
        <v>303</v>
      </c>
      <c r="D77" s="12" t="s">
        <v>304</v>
      </c>
      <c r="E77" s="13"/>
      <c r="F77" s="12" t="s">
        <v>305</v>
      </c>
      <c r="G77" s="12" t="s">
        <v>217</v>
      </c>
      <c r="H77" s="13" t="s">
        <v>218</v>
      </c>
      <c r="I77" s="12" t="n">
        <v>1</v>
      </c>
      <c r="J77" s="12" t="n">
        <v>56</v>
      </c>
      <c r="K77" s="14" t="n">
        <v>865537</v>
      </c>
      <c r="L77" s="13" t="s">
        <v>304</v>
      </c>
      <c r="M77" s="13" t="s">
        <v>306</v>
      </c>
      <c r="N77" s="13" t="s">
        <v>39</v>
      </c>
      <c r="O77" s="10"/>
      <c r="P77" s="10"/>
      <c r="Q77" s="10"/>
      <c r="R77" s="10"/>
      <c r="S77" s="10"/>
      <c r="T77" s="10"/>
      <c r="U77" s="10"/>
      <c r="V77" s="10"/>
      <c r="W77" s="10"/>
      <c r="X77" s="10"/>
      <c r="Y77" s="10"/>
      <c r="Z77" s="10"/>
      <c r="AA77" s="10"/>
      <c r="AB77" s="10"/>
      <c r="AC77" s="10"/>
    </row>
    <row r="78" customFormat="false" ht="30" hidden="false" customHeight="true" outlineLevel="0" collapsed="false">
      <c r="A78" s="15"/>
      <c r="B78" s="7" t="n">
        <v>75</v>
      </c>
      <c r="C78" s="8" t="s">
        <v>307</v>
      </c>
      <c r="D78" s="7" t="s">
        <v>308</v>
      </c>
      <c r="E78" s="8"/>
      <c r="F78" s="7" t="s">
        <v>309</v>
      </c>
      <c r="G78" s="7" t="s">
        <v>217</v>
      </c>
      <c r="H78" s="8" t="s">
        <v>218</v>
      </c>
      <c r="I78" s="7" t="n">
        <v>2</v>
      </c>
      <c r="J78" s="7" t="n">
        <v>37</v>
      </c>
      <c r="K78" s="9" t="n">
        <v>793830</v>
      </c>
      <c r="L78" s="8" t="s">
        <v>310</v>
      </c>
      <c r="M78" s="8" t="s">
        <v>311</v>
      </c>
      <c r="N78" s="8" t="s">
        <v>39</v>
      </c>
      <c r="O78" s="10"/>
      <c r="P78" s="10"/>
      <c r="Q78" s="10"/>
      <c r="R78" s="10"/>
      <c r="S78" s="10"/>
      <c r="T78" s="10"/>
      <c r="U78" s="10"/>
      <c r="V78" s="10"/>
      <c r="W78" s="10"/>
      <c r="X78" s="10"/>
      <c r="Y78" s="10"/>
      <c r="Z78" s="10"/>
      <c r="AA78" s="10"/>
      <c r="AB78" s="10"/>
      <c r="AC78" s="10"/>
    </row>
    <row r="79" customFormat="false" ht="30" hidden="false" customHeight="true" outlineLevel="0" collapsed="false">
      <c r="A79" s="16"/>
      <c r="B79" s="12" t="n">
        <v>76</v>
      </c>
      <c r="C79" s="13" t="s">
        <v>312</v>
      </c>
      <c r="D79" s="12" t="s">
        <v>313</v>
      </c>
      <c r="E79" s="13"/>
      <c r="F79" s="12" t="s">
        <v>314</v>
      </c>
      <c r="G79" s="12" t="s">
        <v>217</v>
      </c>
      <c r="H79" s="13" t="s">
        <v>218</v>
      </c>
      <c r="I79" s="12" t="n">
        <v>15</v>
      </c>
      <c r="J79" s="12" t="n">
        <v>111</v>
      </c>
      <c r="K79" s="14" t="n">
        <v>770504</v>
      </c>
      <c r="L79" s="13" t="s">
        <v>315</v>
      </c>
      <c r="M79" s="13" t="s">
        <v>316</v>
      </c>
      <c r="N79" s="13" t="s">
        <v>39</v>
      </c>
      <c r="O79" s="10"/>
      <c r="P79" s="10"/>
      <c r="Q79" s="10"/>
      <c r="R79" s="10"/>
      <c r="S79" s="10"/>
      <c r="T79" s="10"/>
      <c r="U79" s="10"/>
      <c r="V79" s="10"/>
      <c r="W79" s="10"/>
      <c r="X79" s="10"/>
      <c r="Y79" s="10"/>
      <c r="Z79" s="10"/>
      <c r="AA79" s="10"/>
      <c r="AB79" s="10"/>
      <c r="AC79" s="10"/>
    </row>
    <row r="80" customFormat="false" ht="30" hidden="false" customHeight="true" outlineLevel="0" collapsed="false">
      <c r="A80" s="15"/>
      <c r="B80" s="7" t="n">
        <v>77</v>
      </c>
      <c r="C80" s="8" t="s">
        <v>317</v>
      </c>
      <c r="D80" s="7" t="s">
        <v>318</v>
      </c>
      <c r="E80" s="8" t="s">
        <v>319</v>
      </c>
      <c r="F80" s="7"/>
      <c r="G80" s="7" t="s">
        <v>44</v>
      </c>
      <c r="H80" s="8" t="s">
        <v>45</v>
      </c>
      <c r="I80" s="7" t="n">
        <v>1</v>
      </c>
      <c r="J80" s="7" t="n">
        <v>0</v>
      </c>
      <c r="K80" s="9" t="n">
        <v>749613</v>
      </c>
      <c r="L80" s="8" t="s">
        <v>320</v>
      </c>
      <c r="M80" s="8"/>
      <c r="N80" s="8" t="s">
        <v>47</v>
      </c>
      <c r="O80" s="10"/>
      <c r="P80" s="10"/>
      <c r="Q80" s="10"/>
      <c r="R80" s="10"/>
      <c r="S80" s="10"/>
      <c r="T80" s="10"/>
      <c r="U80" s="10"/>
      <c r="V80" s="10"/>
      <c r="W80" s="10"/>
      <c r="X80" s="10"/>
      <c r="Y80" s="10"/>
      <c r="Z80" s="10"/>
      <c r="AA80" s="10"/>
      <c r="AB80" s="10"/>
      <c r="AC80" s="10"/>
    </row>
    <row r="81" customFormat="false" ht="30" hidden="false" customHeight="true" outlineLevel="0" collapsed="false">
      <c r="A81" s="16"/>
      <c r="B81" s="12" t="n">
        <v>78</v>
      </c>
      <c r="C81" s="13" t="s">
        <v>321</v>
      </c>
      <c r="D81" s="12" t="s">
        <v>322</v>
      </c>
      <c r="E81" s="13"/>
      <c r="F81" s="12" t="s">
        <v>323</v>
      </c>
      <c r="G81" s="12" t="s">
        <v>217</v>
      </c>
      <c r="H81" s="13" t="s">
        <v>218</v>
      </c>
      <c r="I81" s="12" t="n">
        <v>7</v>
      </c>
      <c r="J81" s="12" t="n">
        <v>60</v>
      </c>
      <c r="K81" s="14" t="n">
        <v>734252</v>
      </c>
      <c r="L81" s="13" t="s">
        <v>324</v>
      </c>
      <c r="M81" s="13" t="s">
        <v>325</v>
      </c>
      <c r="N81" s="13" t="s">
        <v>39</v>
      </c>
      <c r="O81" s="10"/>
      <c r="P81" s="10"/>
      <c r="Q81" s="10"/>
      <c r="R81" s="10"/>
      <c r="S81" s="10"/>
      <c r="T81" s="10"/>
      <c r="U81" s="10"/>
      <c r="V81" s="10"/>
      <c r="W81" s="10"/>
      <c r="X81" s="10"/>
      <c r="Y81" s="10"/>
      <c r="Z81" s="10"/>
      <c r="AA81" s="10"/>
      <c r="AB81" s="10"/>
      <c r="AC81" s="10"/>
    </row>
    <row r="82" customFormat="false" ht="30" hidden="false" customHeight="true" outlineLevel="0" collapsed="false">
      <c r="A82" s="15"/>
      <c r="B82" s="7" t="n">
        <v>79</v>
      </c>
      <c r="C82" s="8" t="s">
        <v>326</v>
      </c>
      <c r="D82" s="7" t="s">
        <v>327</v>
      </c>
      <c r="E82" s="8"/>
      <c r="F82" s="7" t="s">
        <v>328</v>
      </c>
      <c r="G82" s="7" t="s">
        <v>217</v>
      </c>
      <c r="H82" s="8" t="s">
        <v>218</v>
      </c>
      <c r="I82" s="7" t="n">
        <v>18</v>
      </c>
      <c r="J82" s="7" t="n">
        <v>69</v>
      </c>
      <c r="K82" s="9" t="n">
        <v>510349</v>
      </c>
      <c r="L82" s="8" t="s">
        <v>329</v>
      </c>
      <c r="M82" s="8" t="s">
        <v>330</v>
      </c>
      <c r="N82" s="8" t="s">
        <v>39</v>
      </c>
      <c r="O82" s="10"/>
      <c r="P82" s="10"/>
      <c r="Q82" s="10"/>
      <c r="R82" s="10"/>
      <c r="S82" s="10"/>
      <c r="T82" s="10"/>
      <c r="U82" s="10"/>
      <c r="V82" s="10"/>
      <c r="W82" s="10"/>
      <c r="X82" s="10"/>
      <c r="Y82" s="10"/>
      <c r="Z82" s="10"/>
      <c r="AA82" s="10"/>
      <c r="AB82" s="10"/>
      <c r="AC82" s="10"/>
    </row>
    <row r="83" customFormat="false" ht="30" hidden="false" customHeight="true" outlineLevel="0" collapsed="false">
      <c r="A83" s="16"/>
      <c r="B83" s="12" t="n">
        <v>80</v>
      </c>
      <c r="C83" s="13" t="s">
        <v>331</v>
      </c>
      <c r="D83" s="12" t="s">
        <v>332</v>
      </c>
      <c r="E83" s="13"/>
      <c r="F83" s="12" t="s">
        <v>333</v>
      </c>
      <c r="G83" s="12" t="s">
        <v>217</v>
      </c>
      <c r="H83" s="13" t="s">
        <v>218</v>
      </c>
      <c r="I83" s="12" t="n">
        <v>26</v>
      </c>
      <c r="J83" s="12" t="n">
        <v>96</v>
      </c>
      <c r="K83" s="14" t="n">
        <v>439754</v>
      </c>
      <c r="L83" s="13" t="s">
        <v>334</v>
      </c>
      <c r="M83" s="13" t="s">
        <v>335</v>
      </c>
      <c r="N83" s="13" t="s">
        <v>39</v>
      </c>
      <c r="O83" s="10"/>
      <c r="P83" s="10"/>
      <c r="Q83" s="10"/>
      <c r="R83" s="10"/>
      <c r="S83" s="10"/>
      <c r="T83" s="10"/>
      <c r="U83" s="10"/>
      <c r="V83" s="10"/>
      <c r="W83" s="10"/>
      <c r="X83" s="10"/>
      <c r="Y83" s="10"/>
      <c r="Z83" s="10"/>
      <c r="AA83" s="10"/>
      <c r="AB83" s="10"/>
      <c r="AC83" s="10"/>
    </row>
    <row r="84" customFormat="false" ht="30" hidden="false" customHeight="true" outlineLevel="0" collapsed="false">
      <c r="A84" s="15"/>
      <c r="B84" s="7" t="n">
        <v>81</v>
      </c>
      <c r="C84" s="8" t="s">
        <v>336</v>
      </c>
      <c r="D84" s="7" t="s">
        <v>337</v>
      </c>
      <c r="E84" s="8"/>
      <c r="F84" s="7" t="s">
        <v>338</v>
      </c>
      <c r="G84" s="7" t="s">
        <v>217</v>
      </c>
      <c r="H84" s="8" t="s">
        <v>218</v>
      </c>
      <c r="I84" s="7" t="n">
        <v>15</v>
      </c>
      <c r="J84" s="7" t="n">
        <v>80</v>
      </c>
      <c r="K84" s="9" t="n">
        <v>430794</v>
      </c>
      <c r="L84" s="8" t="s">
        <v>339</v>
      </c>
      <c r="M84" s="8" t="s">
        <v>340</v>
      </c>
      <c r="N84" s="8" t="s">
        <v>39</v>
      </c>
      <c r="O84" s="10"/>
      <c r="P84" s="10"/>
      <c r="Q84" s="10"/>
      <c r="R84" s="10"/>
      <c r="S84" s="10"/>
      <c r="T84" s="10"/>
      <c r="U84" s="10"/>
      <c r="V84" s="10"/>
      <c r="W84" s="10"/>
      <c r="X84" s="10"/>
      <c r="Y84" s="10"/>
      <c r="Z84" s="10"/>
      <c r="AA84" s="10"/>
      <c r="AB84" s="10"/>
      <c r="AC84" s="10"/>
    </row>
    <row r="85" customFormat="false" ht="30" hidden="false" customHeight="true" outlineLevel="0" collapsed="false">
      <c r="A85" s="16"/>
      <c r="B85" s="12" t="n">
        <v>82</v>
      </c>
      <c r="C85" s="13" t="s">
        <v>341</v>
      </c>
      <c r="D85" s="12" t="s">
        <v>342</v>
      </c>
      <c r="E85" s="13"/>
      <c r="F85" s="12" t="s">
        <v>343</v>
      </c>
      <c r="G85" s="12" t="s">
        <v>344</v>
      </c>
      <c r="H85" s="13" t="s">
        <v>345</v>
      </c>
      <c r="I85" s="12" t="n">
        <v>3</v>
      </c>
      <c r="J85" s="12" t="n">
        <v>40</v>
      </c>
      <c r="K85" s="14" t="n">
        <v>408189</v>
      </c>
      <c r="L85" s="13" t="s">
        <v>346</v>
      </c>
      <c r="M85" s="13" t="s">
        <v>347</v>
      </c>
      <c r="N85" s="13" t="s">
        <v>39</v>
      </c>
      <c r="O85" s="10"/>
      <c r="P85" s="10"/>
      <c r="Q85" s="10"/>
      <c r="R85" s="10"/>
      <c r="S85" s="10"/>
      <c r="T85" s="10"/>
      <c r="U85" s="10"/>
      <c r="V85" s="10"/>
      <c r="W85" s="10"/>
      <c r="X85" s="10"/>
      <c r="Y85" s="10"/>
      <c r="Z85" s="10"/>
      <c r="AA85" s="10"/>
      <c r="AB85" s="10"/>
      <c r="AC85" s="10"/>
    </row>
    <row r="86" customFormat="false" ht="30" hidden="false" customHeight="true" outlineLevel="0" collapsed="false">
      <c r="A86" s="15"/>
      <c r="B86" s="7" t="n">
        <v>83</v>
      </c>
      <c r="C86" s="8" t="s">
        <v>348</v>
      </c>
      <c r="D86" s="7" t="s">
        <v>349</v>
      </c>
      <c r="E86" s="8" t="s">
        <v>350</v>
      </c>
      <c r="F86" s="7" t="s">
        <v>351</v>
      </c>
      <c r="G86" s="7" t="s">
        <v>44</v>
      </c>
      <c r="H86" s="8" t="s">
        <v>45</v>
      </c>
      <c r="I86" s="7" t="n">
        <v>1</v>
      </c>
      <c r="J86" s="7" t="n">
        <v>0</v>
      </c>
      <c r="K86" s="9" t="n">
        <v>367407</v>
      </c>
      <c r="L86" s="8" t="s">
        <v>349</v>
      </c>
      <c r="M86" s="8"/>
      <c r="N86" s="8" t="s">
        <v>60</v>
      </c>
      <c r="O86" s="10"/>
      <c r="P86" s="10"/>
      <c r="Q86" s="10"/>
      <c r="R86" s="10"/>
      <c r="S86" s="10"/>
      <c r="T86" s="10"/>
      <c r="U86" s="10"/>
      <c r="V86" s="10"/>
      <c r="W86" s="10"/>
      <c r="X86" s="10"/>
      <c r="Y86" s="10"/>
      <c r="Z86" s="10"/>
      <c r="AA86" s="10"/>
      <c r="AB86" s="10"/>
      <c r="AC86" s="10"/>
    </row>
    <row r="87" customFormat="false" ht="30" hidden="false" customHeight="true" outlineLevel="0" collapsed="false">
      <c r="A87" s="16"/>
      <c r="B87" s="12" t="n">
        <v>84</v>
      </c>
      <c r="C87" s="13" t="s">
        <v>352</v>
      </c>
      <c r="D87" s="12" t="s">
        <v>353</v>
      </c>
      <c r="E87" s="13" t="s">
        <v>354</v>
      </c>
      <c r="F87" s="12"/>
      <c r="G87" s="12" t="s">
        <v>44</v>
      </c>
      <c r="H87" s="13" t="s">
        <v>73</v>
      </c>
      <c r="I87" s="12" t="n">
        <v>1</v>
      </c>
      <c r="J87" s="12" t="n">
        <v>0</v>
      </c>
      <c r="K87" s="14" t="n">
        <v>367407</v>
      </c>
      <c r="L87" s="13" t="s">
        <v>349</v>
      </c>
      <c r="M87" s="13"/>
      <c r="N87" s="13" t="s">
        <v>74</v>
      </c>
      <c r="O87" s="10"/>
      <c r="P87" s="10"/>
      <c r="Q87" s="10"/>
      <c r="R87" s="10"/>
      <c r="S87" s="10"/>
      <c r="T87" s="10"/>
      <c r="U87" s="10"/>
      <c r="V87" s="10"/>
      <c r="W87" s="10"/>
      <c r="X87" s="10"/>
      <c r="Y87" s="10"/>
      <c r="Z87" s="10"/>
      <c r="AA87" s="10"/>
      <c r="AB87" s="10"/>
      <c r="AC87" s="10"/>
    </row>
    <row r="88" customFormat="false" ht="30" hidden="false" customHeight="true" outlineLevel="0" collapsed="false">
      <c r="A88" s="15"/>
      <c r="B88" s="7" t="n">
        <v>85</v>
      </c>
      <c r="C88" s="8" t="s">
        <v>355</v>
      </c>
      <c r="D88" s="7" t="s">
        <v>356</v>
      </c>
      <c r="E88" s="8"/>
      <c r="F88" s="7" t="s">
        <v>357</v>
      </c>
      <c r="G88" s="7" t="s">
        <v>217</v>
      </c>
      <c r="H88" s="8" t="s">
        <v>218</v>
      </c>
      <c r="I88" s="7" t="n">
        <v>1</v>
      </c>
      <c r="J88" s="7" t="n">
        <v>36</v>
      </c>
      <c r="K88" s="9" t="n">
        <v>356424</v>
      </c>
      <c r="L88" s="8" t="s">
        <v>358</v>
      </c>
      <c r="M88" s="8" t="s">
        <v>359</v>
      </c>
      <c r="N88" s="8" t="s">
        <v>39</v>
      </c>
      <c r="O88" s="10"/>
      <c r="P88" s="10"/>
      <c r="Q88" s="10"/>
      <c r="R88" s="10"/>
      <c r="S88" s="10"/>
      <c r="T88" s="10"/>
      <c r="U88" s="10"/>
      <c r="V88" s="10"/>
      <c r="W88" s="10"/>
      <c r="X88" s="10"/>
      <c r="Y88" s="10"/>
      <c r="Z88" s="10"/>
      <c r="AA88" s="10"/>
      <c r="AB88" s="10"/>
      <c r="AC88" s="10"/>
    </row>
    <row r="89" customFormat="false" ht="30" hidden="false" customHeight="true" outlineLevel="0" collapsed="false">
      <c r="A89" s="16"/>
      <c r="B89" s="12" t="n">
        <v>86</v>
      </c>
      <c r="C89" s="13" t="s">
        <v>360</v>
      </c>
      <c r="D89" s="12" t="s">
        <v>361</v>
      </c>
      <c r="E89" s="13"/>
      <c r="F89" s="12" t="s">
        <v>362</v>
      </c>
      <c r="G89" s="12" t="s">
        <v>217</v>
      </c>
      <c r="H89" s="13" t="s">
        <v>218</v>
      </c>
      <c r="I89" s="12" t="n">
        <v>9</v>
      </c>
      <c r="J89" s="12" t="n">
        <v>55</v>
      </c>
      <c r="K89" s="14" t="n">
        <v>341265</v>
      </c>
      <c r="L89" s="13" t="s">
        <v>363</v>
      </c>
      <c r="M89" s="13" t="s">
        <v>364</v>
      </c>
      <c r="N89" s="13" t="s">
        <v>39</v>
      </c>
      <c r="O89" s="10"/>
      <c r="P89" s="10"/>
      <c r="Q89" s="10"/>
      <c r="R89" s="10"/>
      <c r="S89" s="10"/>
      <c r="T89" s="10"/>
      <c r="U89" s="10"/>
      <c r="V89" s="10"/>
      <c r="W89" s="10"/>
      <c r="X89" s="10"/>
      <c r="Y89" s="10"/>
      <c r="Z89" s="10"/>
      <c r="AA89" s="10"/>
      <c r="AB89" s="10"/>
      <c r="AC89" s="10"/>
    </row>
    <row r="90" customFormat="false" ht="30" hidden="false" customHeight="true" outlineLevel="0" collapsed="false">
      <c r="A90" s="15"/>
      <c r="B90" s="7" t="n">
        <v>87</v>
      </c>
      <c r="C90" s="8" t="s">
        <v>365</v>
      </c>
      <c r="D90" s="7" t="s">
        <v>366</v>
      </c>
      <c r="E90" s="8"/>
      <c r="F90" s="7" t="s">
        <v>367</v>
      </c>
      <c r="G90" s="7" t="s">
        <v>217</v>
      </c>
      <c r="H90" s="8" t="s">
        <v>218</v>
      </c>
      <c r="I90" s="7" t="n">
        <v>12</v>
      </c>
      <c r="J90" s="7" t="n">
        <v>75</v>
      </c>
      <c r="K90" s="9" t="n">
        <v>339102</v>
      </c>
      <c r="L90" s="8" t="s">
        <v>368</v>
      </c>
      <c r="M90" s="8" t="s">
        <v>369</v>
      </c>
      <c r="N90" s="8" t="s">
        <v>39</v>
      </c>
      <c r="O90" s="10"/>
      <c r="P90" s="10"/>
      <c r="Q90" s="10"/>
      <c r="R90" s="10"/>
      <c r="S90" s="10"/>
      <c r="T90" s="10"/>
      <c r="U90" s="10"/>
      <c r="V90" s="10"/>
      <c r="W90" s="10"/>
      <c r="X90" s="10"/>
      <c r="Y90" s="10"/>
      <c r="Z90" s="10"/>
      <c r="AA90" s="10"/>
      <c r="AB90" s="10"/>
      <c r="AC90" s="10"/>
    </row>
    <row r="91" customFormat="false" ht="30" hidden="false" customHeight="true" outlineLevel="0" collapsed="false">
      <c r="A91" s="16"/>
      <c r="B91" s="12" t="n">
        <v>88</v>
      </c>
      <c r="C91" s="13" t="s">
        <v>370</v>
      </c>
      <c r="D91" s="12" t="s">
        <v>371</v>
      </c>
      <c r="E91" s="13"/>
      <c r="F91" s="12" t="s">
        <v>372</v>
      </c>
      <c r="G91" s="12" t="s">
        <v>217</v>
      </c>
      <c r="H91" s="13" t="s">
        <v>218</v>
      </c>
      <c r="I91" s="12" t="n">
        <v>3</v>
      </c>
      <c r="J91" s="12" t="n">
        <v>22</v>
      </c>
      <c r="K91" s="14" t="n">
        <v>326428</v>
      </c>
      <c r="L91" s="13" t="s">
        <v>373</v>
      </c>
      <c r="M91" s="13" t="s">
        <v>374</v>
      </c>
      <c r="N91" s="13" t="s">
        <v>39</v>
      </c>
      <c r="O91" s="10"/>
      <c r="P91" s="10"/>
      <c r="Q91" s="10"/>
      <c r="R91" s="10"/>
      <c r="S91" s="10"/>
      <c r="T91" s="10"/>
      <c r="U91" s="10"/>
      <c r="V91" s="10"/>
      <c r="W91" s="10"/>
      <c r="X91" s="10"/>
      <c r="Y91" s="10"/>
      <c r="Z91" s="10"/>
      <c r="AA91" s="10"/>
      <c r="AB91" s="10"/>
      <c r="AC91" s="10"/>
    </row>
    <row r="92" customFormat="false" ht="30" hidden="false" customHeight="true" outlineLevel="0" collapsed="false">
      <c r="A92" s="15"/>
      <c r="B92" s="7" t="n">
        <v>89</v>
      </c>
      <c r="C92" s="8" t="s">
        <v>375</v>
      </c>
      <c r="D92" s="7" t="s">
        <v>376</v>
      </c>
      <c r="E92" s="8"/>
      <c r="F92" s="7" t="s">
        <v>377</v>
      </c>
      <c r="G92" s="7" t="s">
        <v>378</v>
      </c>
      <c r="H92" s="8" t="s">
        <v>379</v>
      </c>
      <c r="I92" s="7" t="n">
        <v>1</v>
      </c>
      <c r="J92" s="7" t="n">
        <v>30</v>
      </c>
      <c r="K92" s="9" t="n">
        <v>309904</v>
      </c>
      <c r="L92" s="8" t="s">
        <v>376</v>
      </c>
      <c r="M92" s="8" t="s">
        <v>380</v>
      </c>
      <c r="N92" s="8" t="s">
        <v>39</v>
      </c>
      <c r="O92" s="10"/>
      <c r="P92" s="10"/>
      <c r="Q92" s="10"/>
      <c r="R92" s="10"/>
      <c r="S92" s="10"/>
      <c r="T92" s="10"/>
      <c r="U92" s="10"/>
      <c r="V92" s="10"/>
      <c r="W92" s="10"/>
      <c r="X92" s="10"/>
      <c r="Y92" s="10"/>
      <c r="Z92" s="10"/>
      <c r="AA92" s="10"/>
      <c r="AB92" s="10"/>
      <c r="AC92" s="10"/>
    </row>
    <row r="93" customFormat="false" ht="30" hidden="false" customHeight="true" outlineLevel="0" collapsed="false">
      <c r="A93" s="16"/>
      <c r="B93" s="12" t="n">
        <v>90</v>
      </c>
      <c r="C93" s="13" t="s">
        <v>381</v>
      </c>
      <c r="D93" s="12" t="s">
        <v>376</v>
      </c>
      <c r="E93" s="13"/>
      <c r="F93" s="12" t="s">
        <v>382</v>
      </c>
      <c r="G93" s="12" t="s">
        <v>210</v>
      </c>
      <c r="H93" s="13" t="s">
        <v>211</v>
      </c>
      <c r="I93" s="12" t="n">
        <v>1</v>
      </c>
      <c r="J93" s="12" t="n">
        <v>30</v>
      </c>
      <c r="K93" s="14" t="n">
        <v>309904</v>
      </c>
      <c r="L93" s="13" t="s">
        <v>376</v>
      </c>
      <c r="M93" s="13" t="s">
        <v>380</v>
      </c>
      <c r="N93" s="13" t="s">
        <v>39</v>
      </c>
      <c r="O93" s="10"/>
      <c r="P93" s="10"/>
      <c r="Q93" s="10"/>
      <c r="R93" s="10"/>
      <c r="S93" s="10"/>
      <c r="T93" s="10"/>
      <c r="U93" s="10"/>
      <c r="V93" s="10"/>
      <c r="W93" s="10"/>
      <c r="X93" s="10"/>
      <c r="Y93" s="10"/>
      <c r="Z93" s="10"/>
      <c r="AA93" s="10"/>
      <c r="AB93" s="10"/>
      <c r="AC93" s="10"/>
    </row>
    <row r="94" customFormat="false" ht="30" hidden="false" customHeight="true" outlineLevel="0" collapsed="false">
      <c r="A94" s="15"/>
      <c r="B94" s="7" t="n">
        <v>91</v>
      </c>
      <c r="C94" s="8" t="s">
        <v>383</v>
      </c>
      <c r="D94" s="7" t="s">
        <v>384</v>
      </c>
      <c r="E94" s="8"/>
      <c r="F94" s="7" t="s">
        <v>385</v>
      </c>
      <c r="G94" s="7" t="s">
        <v>217</v>
      </c>
      <c r="H94" s="8" t="s">
        <v>218</v>
      </c>
      <c r="I94" s="7" t="n">
        <v>1</v>
      </c>
      <c r="J94" s="7" t="n">
        <v>11</v>
      </c>
      <c r="K94" s="9" t="n">
        <v>268453</v>
      </c>
      <c r="L94" s="8" t="s">
        <v>386</v>
      </c>
      <c r="M94" s="8" t="s">
        <v>387</v>
      </c>
      <c r="N94" s="8" t="s">
        <v>39</v>
      </c>
      <c r="O94" s="10"/>
      <c r="P94" s="10"/>
      <c r="Q94" s="10"/>
      <c r="R94" s="10"/>
      <c r="S94" s="10"/>
      <c r="T94" s="10"/>
      <c r="U94" s="10"/>
      <c r="V94" s="10"/>
      <c r="W94" s="10"/>
      <c r="X94" s="10"/>
      <c r="Y94" s="10"/>
      <c r="Z94" s="10"/>
      <c r="AA94" s="10"/>
      <c r="AB94" s="10"/>
      <c r="AC94" s="10"/>
    </row>
    <row r="95" customFormat="false" ht="30" hidden="false" customHeight="true" outlineLevel="0" collapsed="false">
      <c r="A95" s="16"/>
      <c r="B95" s="12" t="n">
        <v>92</v>
      </c>
      <c r="C95" s="13" t="s">
        <v>388</v>
      </c>
      <c r="D95" s="12" t="s">
        <v>389</v>
      </c>
      <c r="E95" s="13"/>
      <c r="F95" s="12" t="s">
        <v>390</v>
      </c>
      <c r="G95" s="12" t="s">
        <v>217</v>
      </c>
      <c r="H95" s="13" t="s">
        <v>218</v>
      </c>
      <c r="I95" s="12" t="n">
        <v>14</v>
      </c>
      <c r="J95" s="12" t="n">
        <v>61</v>
      </c>
      <c r="K95" s="14" t="n">
        <v>174876</v>
      </c>
      <c r="L95" s="13" t="s">
        <v>391</v>
      </c>
      <c r="M95" s="13" t="s">
        <v>392</v>
      </c>
      <c r="N95" s="13" t="s">
        <v>39</v>
      </c>
      <c r="O95" s="10"/>
      <c r="P95" s="10"/>
      <c r="Q95" s="10"/>
      <c r="R95" s="10"/>
      <c r="S95" s="10"/>
      <c r="T95" s="10"/>
      <c r="U95" s="10"/>
      <c r="V95" s="10"/>
      <c r="W95" s="10"/>
      <c r="X95" s="10"/>
      <c r="Y95" s="10"/>
      <c r="Z95" s="10"/>
      <c r="AA95" s="10"/>
      <c r="AB95" s="10"/>
      <c r="AC95" s="10"/>
    </row>
    <row r="96" customFormat="false" ht="30" hidden="false" customHeight="true" outlineLevel="0" collapsed="false">
      <c r="A96" s="15"/>
      <c r="B96" s="7" t="n">
        <v>93</v>
      </c>
      <c r="C96" s="8" t="s">
        <v>393</v>
      </c>
      <c r="D96" s="7" t="s">
        <v>394</v>
      </c>
      <c r="E96" s="8"/>
      <c r="F96" s="7" t="s">
        <v>395</v>
      </c>
      <c r="G96" s="7" t="s">
        <v>217</v>
      </c>
      <c r="H96" s="8" t="s">
        <v>218</v>
      </c>
      <c r="I96" s="7" t="n">
        <v>7</v>
      </c>
      <c r="J96" s="7" t="n">
        <v>51</v>
      </c>
      <c r="K96" s="9" t="n">
        <v>119116</v>
      </c>
      <c r="L96" s="8" t="s">
        <v>396</v>
      </c>
      <c r="M96" s="8" t="s">
        <v>397</v>
      </c>
      <c r="N96" s="8" t="s">
        <v>39</v>
      </c>
      <c r="O96" s="10"/>
      <c r="P96" s="10"/>
      <c r="Q96" s="10"/>
      <c r="R96" s="10"/>
      <c r="S96" s="10"/>
      <c r="T96" s="10"/>
      <c r="U96" s="10"/>
      <c r="V96" s="10"/>
      <c r="W96" s="10"/>
      <c r="X96" s="10"/>
      <c r="Y96" s="10"/>
      <c r="Z96" s="10"/>
      <c r="AA96" s="10"/>
      <c r="AB96" s="10"/>
      <c r="AC96" s="10"/>
    </row>
    <row r="97" customFormat="false" ht="30" hidden="false" customHeight="true" outlineLevel="0" collapsed="false">
      <c r="A97" s="16"/>
      <c r="B97" s="12" t="n">
        <v>94</v>
      </c>
      <c r="C97" s="13" t="s">
        <v>398</v>
      </c>
      <c r="D97" s="12" t="s">
        <v>384</v>
      </c>
      <c r="E97" s="13"/>
      <c r="F97" s="12" t="s">
        <v>399</v>
      </c>
      <c r="G97" s="12" t="s">
        <v>210</v>
      </c>
      <c r="H97" s="13" t="s">
        <v>211</v>
      </c>
      <c r="I97" s="12" t="n">
        <v>3</v>
      </c>
      <c r="J97" s="12" t="n">
        <v>13</v>
      </c>
      <c r="K97" s="14" t="n">
        <v>84541</v>
      </c>
      <c r="L97" s="13" t="s">
        <v>400</v>
      </c>
      <c r="M97" s="13" t="s">
        <v>401</v>
      </c>
      <c r="N97" s="13" t="s">
        <v>39</v>
      </c>
      <c r="O97" s="10"/>
      <c r="P97" s="10"/>
      <c r="Q97" s="10"/>
      <c r="R97" s="10"/>
      <c r="S97" s="10"/>
      <c r="T97" s="10"/>
      <c r="U97" s="10"/>
      <c r="V97" s="10"/>
      <c r="W97" s="10"/>
      <c r="X97" s="10"/>
      <c r="Y97" s="10"/>
      <c r="Z97" s="10"/>
      <c r="AA97" s="10"/>
      <c r="AB97" s="10"/>
      <c r="AC97" s="10"/>
    </row>
    <row r="98" customFormat="false" ht="30" hidden="false" customHeight="true" outlineLevel="0" collapsed="false">
      <c r="A98" s="15"/>
      <c r="B98" s="7" t="n">
        <v>95</v>
      </c>
      <c r="C98" s="8" t="s">
        <v>402</v>
      </c>
      <c r="D98" s="7" t="s">
        <v>403</v>
      </c>
      <c r="E98" s="8"/>
      <c r="F98" s="7" t="s">
        <v>404</v>
      </c>
      <c r="G98" s="7" t="s">
        <v>210</v>
      </c>
      <c r="H98" s="8" t="s">
        <v>211</v>
      </c>
      <c r="I98" s="7" t="n">
        <v>2</v>
      </c>
      <c r="J98" s="7" t="n">
        <v>19</v>
      </c>
      <c r="K98" s="9" t="n">
        <v>80918</v>
      </c>
      <c r="L98" s="8" t="s">
        <v>405</v>
      </c>
      <c r="M98" s="8" t="s">
        <v>406</v>
      </c>
      <c r="N98" s="8" t="s">
        <v>39</v>
      </c>
      <c r="O98" s="10"/>
      <c r="P98" s="10"/>
      <c r="Q98" s="10"/>
      <c r="R98" s="10"/>
      <c r="S98" s="10"/>
      <c r="T98" s="10"/>
      <c r="U98" s="10"/>
      <c r="V98" s="10"/>
      <c r="W98" s="10"/>
      <c r="X98" s="10"/>
      <c r="Y98" s="10"/>
      <c r="Z98" s="10"/>
      <c r="AA98" s="10"/>
      <c r="AB98" s="10"/>
      <c r="AC98" s="10"/>
    </row>
    <row r="99" customFormat="false" ht="30" hidden="false" customHeight="true" outlineLevel="0" collapsed="false">
      <c r="A99" s="16"/>
      <c r="B99" s="12" t="n">
        <v>96</v>
      </c>
      <c r="C99" s="13" t="s">
        <v>407</v>
      </c>
      <c r="D99" s="12" t="s">
        <v>408</v>
      </c>
      <c r="E99" s="13"/>
      <c r="F99" s="12" t="s">
        <v>409</v>
      </c>
      <c r="G99" s="12" t="s">
        <v>217</v>
      </c>
      <c r="H99" s="13" t="s">
        <v>218</v>
      </c>
      <c r="I99" s="12" t="n">
        <v>6</v>
      </c>
      <c r="J99" s="12" t="n">
        <v>28</v>
      </c>
      <c r="K99" s="14" t="n">
        <v>58752</v>
      </c>
      <c r="L99" s="13" t="s">
        <v>410</v>
      </c>
      <c r="M99" s="13" t="s">
        <v>411</v>
      </c>
      <c r="N99" s="13" t="s">
        <v>39</v>
      </c>
      <c r="O99" s="10"/>
      <c r="P99" s="10"/>
      <c r="Q99" s="10"/>
      <c r="R99" s="10"/>
      <c r="S99" s="10"/>
      <c r="T99" s="10"/>
      <c r="U99" s="10"/>
      <c r="V99" s="10"/>
      <c r="W99" s="10"/>
      <c r="X99" s="10"/>
      <c r="Y99" s="10"/>
      <c r="Z99" s="10"/>
      <c r="AA99" s="10"/>
      <c r="AB99" s="10"/>
      <c r="AC99" s="10"/>
    </row>
    <row r="100" customFormat="false" ht="30" hidden="false" customHeight="true" outlineLevel="0" collapsed="false">
      <c r="A100" s="15"/>
      <c r="B100" s="7" t="n">
        <v>97</v>
      </c>
      <c r="C100" s="8" t="s">
        <v>412</v>
      </c>
      <c r="D100" s="7" t="s">
        <v>413</v>
      </c>
      <c r="E100" s="8"/>
      <c r="F100" s="7" t="s">
        <v>414</v>
      </c>
      <c r="G100" s="7" t="s">
        <v>210</v>
      </c>
      <c r="H100" s="8" t="s">
        <v>211</v>
      </c>
      <c r="I100" s="7" t="n">
        <v>1</v>
      </c>
      <c r="J100" s="7" t="n">
        <v>4</v>
      </c>
      <c r="K100" s="9" t="n">
        <v>57885</v>
      </c>
      <c r="L100" s="8" t="s">
        <v>415</v>
      </c>
      <c r="M100" s="8" t="s">
        <v>416</v>
      </c>
      <c r="N100" s="8" t="s">
        <v>39</v>
      </c>
      <c r="O100" s="10"/>
      <c r="P100" s="10"/>
      <c r="Q100" s="10"/>
      <c r="R100" s="10"/>
      <c r="S100" s="10"/>
      <c r="T100" s="10"/>
      <c r="U100" s="10"/>
      <c r="V100" s="10"/>
      <c r="W100" s="10"/>
      <c r="X100" s="10"/>
      <c r="Y100" s="10"/>
      <c r="Z100" s="10"/>
      <c r="AA100" s="10"/>
      <c r="AB100" s="10"/>
      <c r="AC100" s="10"/>
    </row>
    <row r="101" customFormat="false" ht="30" hidden="false" customHeight="true" outlineLevel="0" collapsed="false">
      <c r="A101" s="16"/>
      <c r="B101" s="12" t="n">
        <v>98</v>
      </c>
      <c r="C101" s="13" t="s">
        <v>417</v>
      </c>
      <c r="D101" s="12" t="s">
        <v>418</v>
      </c>
      <c r="E101" s="13"/>
      <c r="F101" s="12" t="s">
        <v>419</v>
      </c>
      <c r="G101" s="12" t="s">
        <v>210</v>
      </c>
      <c r="H101" s="13" t="s">
        <v>211</v>
      </c>
      <c r="I101" s="12" t="n">
        <v>2</v>
      </c>
      <c r="J101" s="12" t="n">
        <v>4</v>
      </c>
      <c r="K101" s="14" t="n">
        <v>31324</v>
      </c>
      <c r="L101" s="13" t="s">
        <v>420</v>
      </c>
      <c r="M101" s="13" t="s">
        <v>421</v>
      </c>
      <c r="N101" s="13" t="s">
        <v>39</v>
      </c>
      <c r="O101" s="10"/>
      <c r="P101" s="10"/>
      <c r="Q101" s="10"/>
      <c r="R101" s="10"/>
      <c r="S101" s="10"/>
      <c r="T101" s="10"/>
      <c r="U101" s="10"/>
      <c r="V101" s="10"/>
      <c r="W101" s="10"/>
      <c r="X101" s="10"/>
      <c r="Y101" s="10"/>
      <c r="Z101" s="10"/>
      <c r="AA101" s="10"/>
      <c r="AB101" s="10"/>
      <c r="AC101" s="10"/>
    </row>
    <row r="102" customFormat="false" ht="30" hidden="false" customHeight="true" outlineLevel="0" collapsed="false">
      <c r="A102" s="15"/>
      <c r="B102" s="7" t="n">
        <v>99</v>
      </c>
      <c r="C102" s="8" t="s">
        <v>422</v>
      </c>
      <c r="D102" s="7" t="s">
        <v>423</v>
      </c>
      <c r="E102" s="8"/>
      <c r="F102" s="7" t="s">
        <v>424</v>
      </c>
      <c r="G102" s="7" t="s">
        <v>210</v>
      </c>
      <c r="H102" s="8" t="s">
        <v>211</v>
      </c>
      <c r="I102" s="7" t="n">
        <v>3</v>
      </c>
      <c r="J102" s="7" t="n">
        <v>9</v>
      </c>
      <c r="K102" s="9" t="n">
        <v>20241</v>
      </c>
      <c r="L102" s="8" t="s">
        <v>425</v>
      </c>
      <c r="M102" s="8" t="s">
        <v>426</v>
      </c>
      <c r="N102" s="8" t="s">
        <v>39</v>
      </c>
      <c r="O102" s="10"/>
      <c r="P102" s="10"/>
      <c r="Q102" s="10"/>
      <c r="R102" s="10"/>
      <c r="S102" s="10"/>
      <c r="T102" s="10"/>
      <c r="U102" s="10"/>
      <c r="V102" s="10"/>
      <c r="W102" s="10"/>
      <c r="X102" s="10"/>
      <c r="Y102" s="10"/>
      <c r="Z102" s="10"/>
      <c r="AA102" s="10"/>
      <c r="AB102" s="10"/>
      <c r="AC102" s="10"/>
    </row>
  </sheetData>
  <autoFilter ref="A3:AC102"/>
  <mergeCells count="3">
    <mergeCell ref="A1:AC1"/>
    <mergeCell ref="A2:N2"/>
    <mergeCell ref="O2:AC2"/>
  </mergeCells>
  <dataValidations count="3">
    <dataValidation allowBlank="true" errorStyle="stop" operator="between" prompt="Never a yes/no question. Ask: &quot;How far into the month is the funding usually lasting right now?&quot;" showDropDown="false" showErrorMessage="false" showInputMessage="true" sqref="O4:O102" type="list">
      <formula1>"accepting,waitlist,funds_exhausted,seasonal_closed,appointment_only,unknown"</formula1>
      <formula2>0</formula2>
    </dataValidation>
    <dataValidation allowBlank="true" errorStyle="stop" operator="between" prompt="Read the prefilled fact back as a statement." showDropDown="false" showErrorMessage="false" showInputMessage="true" sqref="S4:S102" type="list">
      <formula1>"walk_in,phone,online,appointment"</formula1>
      <formula2>0</formula2>
    </dataValidation>
    <dataValidation allowBlank="true" errorStyle="stop" operator="between" prompt="Log every attempt, including the ones that fail." showDropDown="false" showErrorMessage="false" showInputMessage="true" sqref="Z4:Z102" type="list">
      <formula1>"reached,voicemail,no_answer,busy,wrong_number,callback_booked,refused,gatekeeper,disconnected"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4"/>
  </cols>
  <sheetData>
    <row r="1" customFormat="false" ht="24" hidden="false" customHeight="true" outlineLevel="0" collapsed="false">
      <c r="A1" s="17" t="s">
        <v>427</v>
      </c>
      <c r="B1" s="17"/>
    </row>
    <row r="3" customFormat="false" ht="23.85" hidden="false" customHeight="false" outlineLevel="0" collapsed="false">
      <c r="A3" s="18" t="s">
        <v>428</v>
      </c>
      <c r="B3" s="19" t="s">
        <v>429</v>
      </c>
    </row>
    <row r="4" customFormat="false" ht="23.85" hidden="false" customHeight="false" outlineLevel="0" collapsed="false">
      <c r="A4" s="18" t="s">
        <v>430</v>
      </c>
      <c r="B4" s="19" t="s">
        <v>431</v>
      </c>
    </row>
    <row r="5" customFormat="false" ht="35.05" hidden="false" customHeight="false" outlineLevel="0" collapsed="false">
      <c r="A5" s="18" t="s">
        <v>432</v>
      </c>
      <c r="B5" s="19" t="s">
        <v>433</v>
      </c>
    </row>
    <row r="6" customFormat="false" ht="23.85" hidden="false" customHeight="false" outlineLevel="0" collapsed="false">
      <c r="A6" s="18" t="s">
        <v>434</v>
      </c>
      <c r="B6" s="19" t="s">
        <v>435</v>
      </c>
    </row>
    <row r="7" customFormat="false" ht="35.05" hidden="false" customHeight="false" outlineLevel="0" collapsed="false">
      <c r="A7" s="18" t="s">
        <v>436</v>
      </c>
      <c r="B7" s="19" t="s">
        <v>437</v>
      </c>
    </row>
    <row r="8" customFormat="false" ht="35.05" hidden="false" customHeight="false" outlineLevel="0" collapsed="false">
      <c r="A8" s="18" t="s">
        <v>438</v>
      </c>
      <c r="B8" s="19" t="s">
        <v>439</v>
      </c>
    </row>
    <row r="9" customFormat="false" ht="23.85" hidden="false" customHeight="false" outlineLevel="0" collapsed="false">
      <c r="A9" s="18" t="s">
        <v>440</v>
      </c>
      <c r="B9" s="19" t="s">
        <v>441</v>
      </c>
    </row>
    <row r="10" customFormat="false" ht="23.85" hidden="false" customHeight="false" outlineLevel="0" collapsed="false">
      <c r="A10" s="18" t="s">
        <v>442</v>
      </c>
      <c r="B10" s="19" t="s">
        <v>443</v>
      </c>
    </row>
    <row r="12" customFormat="false" ht="15" hidden="false" customHeight="false" outlineLevel="0" collapsed="false">
      <c r="A12" s="20" t="s">
        <v>444</v>
      </c>
      <c r="B12" s="21" t="s">
        <v>445</v>
      </c>
    </row>
    <row r="13" customFormat="false" ht="35.05" hidden="false" customHeight="false" outlineLevel="0" collapsed="false">
      <c r="A13" s="18" t="s">
        <v>446</v>
      </c>
      <c r="B13" s="19" t="s">
        <v>447</v>
      </c>
    </row>
    <row r="14" customFormat="false" ht="23.85" hidden="false" customHeight="false" outlineLevel="0" collapsed="false">
      <c r="A14" s="18" t="s">
        <v>448</v>
      </c>
      <c r="B14" s="19" t="s">
        <v>449</v>
      </c>
    </row>
    <row r="15" customFormat="false" ht="23.85" hidden="false" customHeight="false" outlineLevel="0" collapsed="false">
      <c r="A15" s="18" t="s">
        <v>450</v>
      </c>
      <c r="B15" s="19" t="s">
        <v>451</v>
      </c>
    </row>
    <row r="16" customFormat="false" ht="23.85" hidden="false" customHeight="false" outlineLevel="0" collapsed="false">
      <c r="A16" s="18" t="s">
        <v>452</v>
      </c>
      <c r="B16" s="19" t="s">
        <v>453</v>
      </c>
    </row>
    <row r="17" customFormat="false" ht="23.85" hidden="false" customHeight="false" outlineLevel="0" collapsed="false">
      <c r="A17" s="18" t="s">
        <v>454</v>
      </c>
      <c r="B17" s="19" t="s">
        <v>455</v>
      </c>
    </row>
    <row r="19" customFormat="false" ht="15" hidden="false" customHeight="false" outlineLevel="0" collapsed="false">
      <c r="A19" s="20" t="s">
        <v>456</v>
      </c>
      <c r="B19" s="21" t="s">
        <v>445</v>
      </c>
    </row>
    <row r="20" customFormat="false" ht="15" hidden="false" customHeight="false" outlineLevel="0" collapsed="false">
      <c r="A20" s="18" t="s">
        <v>457</v>
      </c>
      <c r="B20" s="19" t="s">
        <v>458</v>
      </c>
    </row>
    <row r="21" customFormat="false" ht="23.85" hidden="false" customHeight="false" outlineLevel="0" collapsed="false">
      <c r="A21" s="18" t="s">
        <v>459</v>
      </c>
      <c r="B21" s="19" t="s">
        <v>460</v>
      </c>
    </row>
    <row r="22" customFormat="false" ht="15" hidden="false" customHeight="false" outlineLevel="0" collapsed="false">
      <c r="A22" s="18" t="s">
        <v>461</v>
      </c>
      <c r="B22" s="19" t="s">
        <v>462</v>
      </c>
    </row>
    <row r="24" customFormat="false" ht="15" hidden="false" customHeight="false" outlineLevel="0" collapsed="false">
      <c r="A24" s="20" t="s">
        <v>463</v>
      </c>
      <c r="B24" s="21" t="s">
        <v>445</v>
      </c>
    </row>
    <row r="25" customFormat="false" ht="23.85" hidden="false" customHeight="false" outlineLevel="0" collapsed="false">
      <c r="A25" s="18"/>
      <c r="B25" s="19" t="s">
        <v>464</v>
      </c>
    </row>
    <row r="26" customFormat="false" ht="15" hidden="false" customHeight="false" outlineLevel="0" collapsed="false">
      <c r="A26" s="22" t="s">
        <v>17</v>
      </c>
      <c r="B26" s="23" t="s">
        <v>465</v>
      </c>
    </row>
    <row r="27" customFormat="false" ht="15" hidden="false" customHeight="false" outlineLevel="0" collapsed="false">
      <c r="A27" s="22" t="s">
        <v>19</v>
      </c>
      <c r="B27" s="23" t="s">
        <v>466</v>
      </c>
    </row>
    <row r="28" customFormat="false" ht="15" hidden="false" customHeight="false" outlineLevel="0" collapsed="false">
      <c r="A28" s="22" t="s">
        <v>20</v>
      </c>
      <c r="B28" s="23" t="s">
        <v>467</v>
      </c>
    </row>
    <row r="29" customFormat="false" ht="15" hidden="false" customHeight="false" outlineLevel="0" collapsed="false">
      <c r="A29" s="22" t="s">
        <v>21</v>
      </c>
      <c r="B29" s="23" t="s">
        <v>468</v>
      </c>
    </row>
    <row r="30" customFormat="false" ht="15" hidden="false" customHeight="false" outlineLevel="0" collapsed="false">
      <c r="A30" s="22" t="s">
        <v>22</v>
      </c>
      <c r="B30" s="23" t="s">
        <v>469</v>
      </c>
    </row>
    <row r="31" customFormat="false" ht="15" hidden="false" customHeight="false" outlineLevel="0" collapsed="false">
      <c r="A31" s="22" t="s">
        <v>23</v>
      </c>
      <c r="B31" s="23" t="s">
        <v>470</v>
      </c>
    </row>
    <row r="32" customFormat="false" ht="15" hidden="false" customHeight="false" outlineLevel="0" collapsed="false">
      <c r="A32" s="22" t="s">
        <v>24</v>
      </c>
      <c r="B32" s="23" t="s">
        <v>471</v>
      </c>
    </row>
    <row r="33" customFormat="false" ht="15" hidden="false" customHeight="false" outlineLevel="0" collapsed="false">
      <c r="A33" s="22" t="s">
        <v>25</v>
      </c>
      <c r="B33" s="23" t="s">
        <v>472</v>
      </c>
    </row>
    <row r="34" customFormat="false" ht="15" hidden="false" customHeight="false" outlineLevel="0" collapsed="false">
      <c r="A34" s="22" t="s">
        <v>18</v>
      </c>
      <c r="B34" s="23" t="s">
        <v>473</v>
      </c>
    </row>
    <row r="35" customFormat="false" ht="15" hidden="false" customHeight="false" outlineLevel="0" collapsed="false">
      <c r="A35" s="22" t="s">
        <v>26</v>
      </c>
      <c r="B35" s="23" t="s">
        <v>474</v>
      </c>
    </row>
    <row r="36" customFormat="false" ht="15" hidden="false" customHeight="false" outlineLevel="0" collapsed="false">
      <c r="A36" s="22" t="s">
        <v>27</v>
      </c>
      <c r="B36" s="23" t="s">
        <v>475</v>
      </c>
    </row>
    <row r="37" customFormat="false" ht="15" hidden="false" customHeight="false" outlineLevel="0" collapsed="false">
      <c r="A37" s="22" t="s">
        <v>28</v>
      </c>
      <c r="B37" s="23" t="s">
        <v>476</v>
      </c>
    </row>
    <row r="38" customFormat="false" ht="15" hidden="false" customHeight="false" outlineLevel="0" collapsed="false">
      <c r="A38" s="22" t="s">
        <v>30</v>
      </c>
      <c r="B38" s="23" t="s">
        <v>477</v>
      </c>
    </row>
    <row r="39" customFormat="false" ht="15" hidden="false" customHeight="false" outlineLevel="0" collapsed="false">
      <c r="A39" s="22" t="s">
        <v>31</v>
      </c>
      <c r="B39" s="23" t="s">
        <v>478</v>
      </c>
    </row>
    <row r="41" customFormat="false" ht="15" hidden="false" customHeight="false" outlineLevel="0" collapsed="false">
      <c r="A41" s="20" t="s">
        <v>479</v>
      </c>
      <c r="B41" s="21" t="s">
        <v>445</v>
      </c>
    </row>
    <row r="42" customFormat="false" ht="15" hidden="false" customHeight="false" outlineLevel="0" collapsed="false">
      <c r="A42" s="18" t="s">
        <v>480</v>
      </c>
      <c r="B42" s="24" t="str">
        <f aca="false">COUNTA('Master List'!Z4:Z102)&amp;" of 99"</f>
        <v>0 of 99</v>
      </c>
    </row>
    <row r="43" customFormat="false" ht="15" hidden="false" customHeight="false" outlineLevel="0" collapsed="false">
      <c r="A43" s="18" t="s">
        <v>481</v>
      </c>
      <c r="B43" s="24" t="n">
        <f aca="false">COUNTIF('Master List'!Z4:Z102,"reached")</f>
        <v>0</v>
      </c>
    </row>
    <row r="44" customFormat="false" ht="15" hidden="false" customHeight="false" outlineLevel="0" collapsed="false">
      <c r="A44" s="18" t="s">
        <v>482</v>
      </c>
      <c r="B44" s="24" t="n">
        <f aca="false">COUNTIF('Master List'!O4:O102,"accepting")</f>
        <v>0</v>
      </c>
    </row>
    <row r="45" customFormat="false" ht="15" hidden="false" customHeight="false" outlineLevel="0" collapsed="false">
      <c r="A45" s="18" t="s">
        <v>483</v>
      </c>
      <c r="B45" s="25" t="str">
        <f aca="false">IFERROR(COUNTIF('Master List'!Z4:Z102,"reached")/COUNTA('Master List'!Z4:Z102),"—")</f>
        <v>—</v>
      </c>
    </row>
    <row r="46" customFormat="false" ht="15" hidden="false" customHeight="false" outlineLevel="0" collapsed="false">
      <c r="B46" s="26" t="s">
        <v>484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2026-09-04T16:00:47Z</dcterms:created>
  <dc:creator>openpyxl</dc:creator>
  <dc:description/>
  <dc:language>en-US</dc:language>
  <cp:lastModifiedBy/>
  <dcterms:modified xsi:type="dcterms:W3CDTF">2026-09-04T16:00:47Z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